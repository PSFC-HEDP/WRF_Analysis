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usti\GitHub\WRF_Analysis\templates\"/>
    </mc:Choice>
  </mc:AlternateContent>
  <xr:revisionPtr revIDLastSave="0" documentId="8_{41EA9A69-DDC0-43ED-98DA-08F515CB57FF}" xr6:coauthVersionLast="47" xr6:coauthVersionMax="47" xr10:uidLastSave="{00000000-0000-0000-0000-000000000000}"/>
  <workbookProtection workbookPassword="C595" lockStructure="1"/>
  <bookViews>
    <workbookView xWindow="3000" yWindow="3000" windowWidth="14400" windowHeight="8170" tabRatio="915"/>
  </bookViews>
  <sheets>
    <sheet name="Summary" sheetId="7" r:id="rId1"/>
    <sheet name="Validation" sheetId="12" state="hidden" r:id="rId2"/>
    <sheet name="!DATA1" sheetId="5" state="hidden" r:id="rId3"/>
    <sheet name="!TBL-DATA" sheetId="40" state="hidden" r:id="rId4"/>
  </sheets>
  <definedNames>
    <definedName name="Compr_ablator_ρR_from_KO_P_spec_1">Summary!$A$17</definedName>
    <definedName name="Compr_ablator_ρR_from_KO_P_spec_2">Summary!$A$27</definedName>
    <definedName name="Compr_ablator_ρR_from_KO_P_spec_3">Summary!$A$37</definedName>
    <definedName name="Compr_ablator_ρR_from_KO_P_spec_4">Summary!$A$47</definedName>
    <definedName name="Compr_ablator_ρR_from_KO_P_spec_5">Summary!$A$58</definedName>
    <definedName name="Compr_ablator_ρR_from_ratio_1">Summary!$A$16</definedName>
    <definedName name="Compr_ablator_ρR_from_ratio_2">Summary!$A$26</definedName>
    <definedName name="Compr_ablator_ρR_from_ratio_3">Summary!$A$36</definedName>
    <definedName name="Compr_ablator_ρR_from_ratio_4">Summary!$A$46</definedName>
    <definedName name="Compr_ablator_ρR_from_ratio_5">Summary!$A$57</definedName>
    <definedName name="Compr_D3He_p_yield_1">Summary!$A$12</definedName>
    <definedName name="Compr_D3He_p_yield_2">Summary!$A$22</definedName>
    <definedName name="Compr_D3He_p_yield_3">Summary!$A$32</definedName>
    <definedName name="Compr_D3He_p_yield_4">Summary!$A$42</definedName>
    <definedName name="Compr_D3He_p_yield_5">Summary!$A$53</definedName>
    <definedName name="Instrument">Summary!$B$4</definedName>
    <definedName name="Metric">Summary!$B$10</definedName>
    <definedName name="Port">Summary!$B$3</definedName>
    <definedName name="Ports">Validation!$A$2:$A$5</definedName>
    <definedName name="QualityList">Validation!$D$2:$D$3</definedName>
    <definedName name="Shock_D3He_p_yield_1">Summary!$A$11</definedName>
    <definedName name="Shock_D3He_p_yield_2">Summary!$A$21</definedName>
    <definedName name="Shock_D3He_p_yield_3">Summary!$A$31</definedName>
    <definedName name="Shock_D3He_p_yield_4">Summary!$A$41</definedName>
    <definedName name="Shock_D3He_p_yield_5">Summary!$A$52</definedName>
    <definedName name="SHOT_ID">Summary!$B$2</definedName>
    <definedName name="Stat_Unc">Summary!$E$10</definedName>
    <definedName name="SUBSYSTEM_KEY">'!DATA1'!$D$2</definedName>
    <definedName name="Sys_Unc">Summary!$D$10</definedName>
    <definedName name="Total_Unc">Summary!$F$10</definedName>
    <definedName name="UOM">Summary!$C$10</definedName>
    <definedName name="WRF_1_Metric">Summary!$B$11:$B$17</definedName>
    <definedName name="WRF_2_Metric">Summary!$B$21:$B$27</definedName>
    <definedName name="WRF_3_Metric">Summary!$B$31:$B$37</definedName>
    <definedName name="WRF_4_Metric">Summary!$B$41:$B$47</definedName>
    <definedName name="WRF_5_Metric">Summary!$B$52:$B$58</definedName>
    <definedName name="Y_KO_P_Y_n_ratio_1">Summary!$A$15</definedName>
    <definedName name="Y_KO_P_Y_n_ratio_2">Summary!$A$25</definedName>
    <definedName name="Y_KO_P_Y_n_ratio_3">Summary!$A$35</definedName>
    <definedName name="Y_KO_P_Y_n_ratio_4">Summary!$A$45</definedName>
    <definedName name="Y_KO_P_Y_n_ratio_5">Summary!$A$56</definedName>
    <definedName name="ρR_at_compression_1">Summary!$A$14</definedName>
    <definedName name="ρR_at_compression_2">Summary!$A$24</definedName>
    <definedName name="ρR_at_compression_3">Summary!$A$34</definedName>
    <definedName name="ρR_at_compression_4">Summary!$A$44</definedName>
    <definedName name="ρR_at_compression_5">Summary!$A$55</definedName>
    <definedName name="ρR_at_shock_1">Summary!$A$13</definedName>
    <definedName name="ρR_at_shock_2">Summary!$A$23</definedName>
    <definedName name="ρR_at_shock_3">Summary!$A$33</definedName>
    <definedName name="ρR_at_shock_4">Summary!$A$43</definedName>
    <definedName name="ρR_at_shock_5">Summary!$A$54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40" l="1"/>
  <c r="K41" i="40"/>
  <c r="L41" i="40"/>
  <c r="M41" i="40"/>
  <c r="N41" i="40"/>
  <c r="O41" i="40"/>
  <c r="P41" i="40"/>
  <c r="H40" i="40"/>
  <c r="O40" i="40"/>
  <c r="M40" i="40"/>
  <c r="K40" i="40"/>
  <c r="H34" i="40"/>
  <c r="K34" i="40"/>
  <c r="L34" i="40"/>
  <c r="M34" i="40"/>
  <c r="N34" i="40"/>
  <c r="O34" i="40"/>
  <c r="P34" i="40"/>
  <c r="H33" i="40"/>
  <c r="O33" i="40"/>
  <c r="M33" i="40"/>
  <c r="K33" i="40"/>
  <c r="H27" i="40"/>
  <c r="K27" i="40"/>
  <c r="L27" i="40"/>
  <c r="M27" i="40"/>
  <c r="N27" i="40"/>
  <c r="O27" i="40"/>
  <c r="P27" i="40"/>
  <c r="H26" i="40"/>
  <c r="O26" i="40"/>
  <c r="M26" i="40"/>
  <c r="K26" i="40"/>
  <c r="H20" i="40"/>
  <c r="K20" i="40"/>
  <c r="L20" i="40"/>
  <c r="M20" i="40"/>
  <c r="N20" i="40"/>
  <c r="O20" i="40"/>
  <c r="P20" i="40"/>
  <c r="K21" i="40"/>
  <c r="L21" i="40"/>
  <c r="M21" i="40"/>
  <c r="N21" i="40"/>
  <c r="O21" i="40"/>
  <c r="P21" i="40"/>
  <c r="H19" i="40"/>
  <c r="O19" i="40"/>
  <c r="M19" i="40"/>
  <c r="K19" i="40"/>
  <c r="H13" i="40"/>
  <c r="O13" i="40"/>
  <c r="H12" i="40"/>
  <c r="O12" i="40"/>
  <c r="M13" i="40"/>
  <c r="M12" i="40"/>
  <c r="K13" i="40"/>
  <c r="K12" i="40"/>
  <c r="B41" i="40"/>
  <c r="B42" i="40"/>
  <c r="B43" i="40"/>
  <c r="B44" i="40"/>
  <c r="B45" i="40"/>
  <c r="B46" i="40"/>
  <c r="B40" i="40"/>
  <c r="B34" i="40"/>
  <c r="B35" i="40"/>
  <c r="B36" i="40"/>
  <c r="B37" i="40"/>
  <c r="B38" i="40"/>
  <c r="B39" i="40"/>
  <c r="B33" i="40"/>
  <c r="B27" i="40"/>
  <c r="B28" i="40"/>
  <c r="B29" i="40"/>
  <c r="B30" i="40"/>
  <c r="B31" i="40"/>
  <c r="B32" i="40"/>
  <c r="B26" i="40"/>
  <c r="B20" i="40"/>
  <c r="B21" i="40"/>
  <c r="B22" i="40"/>
  <c r="B23" i="40"/>
  <c r="B24" i="40"/>
  <c r="B25" i="40"/>
  <c r="B19" i="40"/>
  <c r="B13" i="40"/>
  <c r="B14" i="40"/>
  <c r="B15" i="40"/>
  <c r="B16" i="40"/>
  <c r="B17" i="40"/>
  <c r="B18" i="40"/>
  <c r="B12" i="40"/>
  <c r="T42" i="40"/>
  <c r="V42" i="40"/>
  <c r="W42" i="40"/>
  <c r="X42" i="40"/>
  <c r="T43" i="40"/>
  <c r="V43" i="40"/>
  <c r="W43" i="40"/>
  <c r="X43" i="40"/>
  <c r="T44" i="40"/>
  <c r="V44" i="40"/>
  <c r="W44" i="40"/>
  <c r="X44" i="40"/>
  <c r="T45" i="40"/>
  <c r="V45" i="40"/>
  <c r="W45" i="40"/>
  <c r="X45" i="40"/>
  <c r="T46" i="40"/>
  <c r="V46" i="40"/>
  <c r="W46" i="40"/>
  <c r="X46" i="40"/>
  <c r="T13" i="40"/>
  <c r="V13" i="40"/>
  <c r="W13" i="40"/>
  <c r="X13" i="40"/>
  <c r="T14" i="40"/>
  <c r="V14" i="40"/>
  <c r="W14" i="40"/>
  <c r="X14" i="40"/>
  <c r="T15" i="40"/>
  <c r="V15" i="40"/>
  <c r="W15" i="40"/>
  <c r="X15" i="40"/>
  <c r="T16" i="40"/>
  <c r="V16" i="40"/>
  <c r="W16" i="40"/>
  <c r="X16" i="40"/>
  <c r="T17" i="40"/>
  <c r="V17" i="40"/>
  <c r="W17" i="40"/>
  <c r="X17" i="40"/>
  <c r="T18" i="40"/>
  <c r="V18" i="40"/>
  <c r="W18" i="40"/>
  <c r="X18" i="40"/>
  <c r="T19" i="40"/>
  <c r="V19" i="40"/>
  <c r="W19" i="40"/>
  <c r="X19" i="40"/>
  <c r="T20" i="40"/>
  <c r="V20" i="40"/>
  <c r="W20" i="40"/>
  <c r="X20" i="40"/>
  <c r="T21" i="40"/>
  <c r="V21" i="40"/>
  <c r="W21" i="40"/>
  <c r="X21" i="40"/>
  <c r="T22" i="40"/>
  <c r="V22" i="40"/>
  <c r="W22" i="40"/>
  <c r="X22" i="40"/>
  <c r="T23" i="40"/>
  <c r="V23" i="40"/>
  <c r="W23" i="40"/>
  <c r="X23" i="40"/>
  <c r="T24" i="40"/>
  <c r="V24" i="40"/>
  <c r="W24" i="40"/>
  <c r="X24" i="40"/>
  <c r="T25" i="40"/>
  <c r="V25" i="40"/>
  <c r="W25" i="40"/>
  <c r="X25" i="40"/>
  <c r="T26" i="40"/>
  <c r="V26" i="40"/>
  <c r="W26" i="40"/>
  <c r="X26" i="40"/>
  <c r="T27" i="40"/>
  <c r="V27" i="40"/>
  <c r="W27" i="40"/>
  <c r="X27" i="40"/>
  <c r="T28" i="40"/>
  <c r="V28" i="40"/>
  <c r="W28" i="40"/>
  <c r="X28" i="40"/>
  <c r="T29" i="40"/>
  <c r="V29" i="40"/>
  <c r="W29" i="40"/>
  <c r="X29" i="40"/>
  <c r="T30" i="40"/>
  <c r="V30" i="40"/>
  <c r="W30" i="40"/>
  <c r="X30" i="40"/>
  <c r="T31" i="40"/>
  <c r="V31" i="40"/>
  <c r="W31" i="40"/>
  <c r="X31" i="40"/>
  <c r="T32" i="40"/>
  <c r="V32" i="40"/>
  <c r="W32" i="40"/>
  <c r="X32" i="40"/>
  <c r="T33" i="40"/>
  <c r="V33" i="40"/>
  <c r="W33" i="40"/>
  <c r="X33" i="40"/>
  <c r="T34" i="40"/>
  <c r="V34" i="40"/>
  <c r="W34" i="40"/>
  <c r="X34" i="40"/>
  <c r="T35" i="40"/>
  <c r="V35" i="40"/>
  <c r="W35" i="40"/>
  <c r="X35" i="40"/>
  <c r="T36" i="40"/>
  <c r="V36" i="40"/>
  <c r="W36" i="40"/>
  <c r="X36" i="40"/>
  <c r="T37" i="40"/>
  <c r="V37" i="40"/>
  <c r="W37" i="40"/>
  <c r="X37" i="40"/>
  <c r="T38" i="40"/>
  <c r="V38" i="40"/>
  <c r="W38" i="40"/>
  <c r="X38" i="40"/>
  <c r="T39" i="40"/>
  <c r="V39" i="40"/>
  <c r="W39" i="40"/>
  <c r="X39" i="40"/>
  <c r="T40" i="40"/>
  <c r="V40" i="40"/>
  <c r="W40" i="40"/>
  <c r="X40" i="40"/>
  <c r="T41" i="40"/>
  <c r="V41" i="40"/>
  <c r="W41" i="40"/>
  <c r="X41" i="40"/>
  <c r="T12" i="40"/>
  <c r="V12" i="40"/>
  <c r="W12" i="40"/>
  <c r="X12" i="40"/>
  <c r="Q46" i="40"/>
  <c r="O46" i="40"/>
  <c r="P46" i="40"/>
  <c r="M46" i="40"/>
  <c r="N46" i="40"/>
  <c r="K46" i="40"/>
  <c r="L46" i="40"/>
  <c r="J46" i="40"/>
  <c r="I46" i="40"/>
  <c r="H46" i="40"/>
  <c r="G46" i="40"/>
  <c r="E46" i="40"/>
  <c r="D46" i="40"/>
  <c r="A46" i="40"/>
  <c r="Q45" i="40"/>
  <c r="O45" i="40"/>
  <c r="P45" i="40"/>
  <c r="M45" i="40"/>
  <c r="N45" i="40"/>
  <c r="K45" i="40"/>
  <c r="L45" i="40"/>
  <c r="J45" i="40"/>
  <c r="I45" i="40"/>
  <c r="H45" i="40"/>
  <c r="G45" i="40"/>
  <c r="E45" i="40"/>
  <c r="D45" i="40"/>
  <c r="A45" i="40"/>
  <c r="Q44" i="40"/>
  <c r="O44" i="40"/>
  <c r="P44" i="40"/>
  <c r="M44" i="40"/>
  <c r="N44" i="40"/>
  <c r="K44" i="40"/>
  <c r="L44" i="40"/>
  <c r="J44" i="40"/>
  <c r="I44" i="40"/>
  <c r="H44" i="40"/>
  <c r="G44" i="40"/>
  <c r="E44" i="40"/>
  <c r="D44" i="40"/>
  <c r="A44" i="40"/>
  <c r="Q43" i="40"/>
  <c r="O43" i="40"/>
  <c r="P43" i="40"/>
  <c r="M43" i="40"/>
  <c r="N43" i="40"/>
  <c r="K43" i="40"/>
  <c r="L43" i="40"/>
  <c r="J43" i="40"/>
  <c r="I43" i="40"/>
  <c r="H43" i="40"/>
  <c r="G43" i="40"/>
  <c r="E43" i="40"/>
  <c r="D43" i="40"/>
  <c r="A43" i="40"/>
  <c r="Q42" i="40"/>
  <c r="O42" i="40"/>
  <c r="P42" i="40"/>
  <c r="M42" i="40"/>
  <c r="N42" i="40"/>
  <c r="K42" i="40"/>
  <c r="L42" i="40"/>
  <c r="J42" i="40"/>
  <c r="I42" i="40"/>
  <c r="H42" i="40"/>
  <c r="G42" i="40"/>
  <c r="E42" i="40"/>
  <c r="D42" i="40"/>
  <c r="A42" i="40"/>
  <c r="Q41" i="40"/>
  <c r="J41" i="40"/>
  <c r="I41" i="40"/>
  <c r="G41" i="40"/>
  <c r="E41" i="40"/>
  <c r="D41" i="40"/>
  <c r="A41" i="40"/>
  <c r="Q40" i="40"/>
  <c r="P40" i="40"/>
  <c r="N40" i="40"/>
  <c r="L40" i="40"/>
  <c r="J40" i="40"/>
  <c r="I40" i="40"/>
  <c r="G40" i="40"/>
  <c r="E40" i="40"/>
  <c r="D40" i="40"/>
  <c r="A40" i="40"/>
  <c r="Q39" i="40"/>
  <c r="O39" i="40"/>
  <c r="P39" i="40"/>
  <c r="M39" i="40"/>
  <c r="N39" i="40"/>
  <c r="K39" i="40"/>
  <c r="L39" i="40"/>
  <c r="J39" i="40"/>
  <c r="I39" i="40"/>
  <c r="H39" i="40"/>
  <c r="G39" i="40"/>
  <c r="E39" i="40"/>
  <c r="D39" i="40"/>
  <c r="A39" i="40"/>
  <c r="Q38" i="40"/>
  <c r="O38" i="40"/>
  <c r="P38" i="40"/>
  <c r="M38" i="40"/>
  <c r="N38" i="40"/>
  <c r="K38" i="40"/>
  <c r="L38" i="40"/>
  <c r="J38" i="40"/>
  <c r="I38" i="40"/>
  <c r="H38" i="40"/>
  <c r="G38" i="40"/>
  <c r="E38" i="40"/>
  <c r="D38" i="40"/>
  <c r="A38" i="40"/>
  <c r="Q37" i="40"/>
  <c r="O37" i="40"/>
  <c r="P37" i="40"/>
  <c r="M37" i="40"/>
  <c r="N37" i="40"/>
  <c r="K37" i="40"/>
  <c r="L37" i="40"/>
  <c r="J37" i="40"/>
  <c r="I37" i="40"/>
  <c r="H37" i="40"/>
  <c r="G37" i="40"/>
  <c r="E37" i="40"/>
  <c r="D37" i="40"/>
  <c r="A37" i="40"/>
  <c r="Q36" i="40"/>
  <c r="O36" i="40"/>
  <c r="P36" i="40"/>
  <c r="M36" i="40"/>
  <c r="N36" i="40"/>
  <c r="K36" i="40"/>
  <c r="L36" i="40"/>
  <c r="J36" i="40"/>
  <c r="I36" i="40"/>
  <c r="H36" i="40"/>
  <c r="G36" i="40"/>
  <c r="E36" i="40"/>
  <c r="D36" i="40"/>
  <c r="A36" i="40"/>
  <c r="Q35" i="40"/>
  <c r="O35" i="40"/>
  <c r="P35" i="40"/>
  <c r="M35" i="40"/>
  <c r="N35" i="40"/>
  <c r="K35" i="40"/>
  <c r="L35" i="40"/>
  <c r="J35" i="40"/>
  <c r="I35" i="40"/>
  <c r="H35" i="40"/>
  <c r="G35" i="40"/>
  <c r="E35" i="40"/>
  <c r="D35" i="40"/>
  <c r="A35" i="40"/>
  <c r="Q34" i="40"/>
  <c r="J34" i="40"/>
  <c r="I34" i="40"/>
  <c r="G34" i="40"/>
  <c r="E34" i="40"/>
  <c r="D34" i="40"/>
  <c r="A34" i="40"/>
  <c r="Q33" i="40"/>
  <c r="P33" i="40"/>
  <c r="N33" i="40"/>
  <c r="L33" i="40"/>
  <c r="J33" i="40"/>
  <c r="I33" i="40"/>
  <c r="G33" i="40"/>
  <c r="E33" i="40"/>
  <c r="D33" i="40"/>
  <c r="A33" i="40"/>
  <c r="Q32" i="40"/>
  <c r="O32" i="40"/>
  <c r="P32" i="40"/>
  <c r="M32" i="40"/>
  <c r="N32" i="40"/>
  <c r="K32" i="40"/>
  <c r="L32" i="40"/>
  <c r="J32" i="40"/>
  <c r="I32" i="40"/>
  <c r="H32" i="40"/>
  <c r="G32" i="40"/>
  <c r="E32" i="40"/>
  <c r="D32" i="40"/>
  <c r="A32" i="40"/>
  <c r="Q31" i="40"/>
  <c r="O31" i="40"/>
  <c r="P31" i="40"/>
  <c r="M31" i="40"/>
  <c r="N31" i="40"/>
  <c r="K31" i="40"/>
  <c r="L31" i="40"/>
  <c r="J31" i="40"/>
  <c r="I31" i="40"/>
  <c r="H31" i="40"/>
  <c r="G31" i="40"/>
  <c r="E31" i="40"/>
  <c r="D31" i="40"/>
  <c r="A31" i="40"/>
  <c r="Q30" i="40"/>
  <c r="O30" i="40"/>
  <c r="P30" i="40"/>
  <c r="M30" i="40"/>
  <c r="N30" i="40"/>
  <c r="K30" i="40"/>
  <c r="L30" i="40"/>
  <c r="J30" i="40"/>
  <c r="I30" i="40"/>
  <c r="H30" i="40"/>
  <c r="G30" i="40"/>
  <c r="E30" i="40"/>
  <c r="D30" i="40"/>
  <c r="A30" i="40"/>
  <c r="Q29" i="40"/>
  <c r="O29" i="40"/>
  <c r="P29" i="40"/>
  <c r="M29" i="40"/>
  <c r="N29" i="40"/>
  <c r="K29" i="40"/>
  <c r="L29" i="40"/>
  <c r="J29" i="40"/>
  <c r="I29" i="40"/>
  <c r="H29" i="40"/>
  <c r="G29" i="40"/>
  <c r="E29" i="40"/>
  <c r="D29" i="40"/>
  <c r="A29" i="40"/>
  <c r="Q28" i="40"/>
  <c r="O28" i="40"/>
  <c r="P28" i="40"/>
  <c r="M28" i="40"/>
  <c r="N28" i="40"/>
  <c r="K28" i="40"/>
  <c r="L28" i="40"/>
  <c r="J28" i="40"/>
  <c r="I28" i="40"/>
  <c r="H28" i="40"/>
  <c r="G28" i="40"/>
  <c r="E28" i="40"/>
  <c r="D28" i="40"/>
  <c r="A28" i="40"/>
  <c r="Q27" i="40"/>
  <c r="J27" i="40"/>
  <c r="I27" i="40"/>
  <c r="G27" i="40"/>
  <c r="E27" i="40"/>
  <c r="D27" i="40"/>
  <c r="A27" i="40"/>
  <c r="P26" i="40"/>
  <c r="N26" i="40"/>
  <c r="L26" i="40"/>
  <c r="J26" i="40"/>
  <c r="I26" i="40"/>
  <c r="G26" i="40"/>
  <c r="E26" i="40"/>
  <c r="D26" i="40"/>
  <c r="A26" i="40"/>
  <c r="Q25" i="40"/>
  <c r="O25" i="40"/>
  <c r="P25" i="40"/>
  <c r="M25" i="40"/>
  <c r="N25" i="40"/>
  <c r="K25" i="40"/>
  <c r="L25" i="40"/>
  <c r="J25" i="40"/>
  <c r="I25" i="40"/>
  <c r="H25" i="40"/>
  <c r="G25" i="40"/>
  <c r="E25" i="40"/>
  <c r="D25" i="40"/>
  <c r="A25" i="40"/>
  <c r="Q24" i="40"/>
  <c r="O24" i="40"/>
  <c r="P24" i="40"/>
  <c r="M24" i="40"/>
  <c r="N24" i="40"/>
  <c r="K24" i="40"/>
  <c r="L24" i="40"/>
  <c r="J24" i="40"/>
  <c r="I24" i="40"/>
  <c r="H24" i="40"/>
  <c r="G24" i="40"/>
  <c r="E24" i="40"/>
  <c r="D24" i="40"/>
  <c r="A24" i="40"/>
  <c r="Q23" i="40"/>
  <c r="O23" i="40"/>
  <c r="P23" i="40"/>
  <c r="M23" i="40"/>
  <c r="N23" i="40"/>
  <c r="K23" i="40"/>
  <c r="L23" i="40"/>
  <c r="J23" i="40"/>
  <c r="I23" i="40"/>
  <c r="H23" i="40"/>
  <c r="G23" i="40"/>
  <c r="E23" i="40"/>
  <c r="D23" i="40"/>
  <c r="A23" i="40"/>
  <c r="Q22" i="40"/>
  <c r="O22" i="40"/>
  <c r="P22" i="40"/>
  <c r="M22" i="40"/>
  <c r="N22" i="40"/>
  <c r="K22" i="40"/>
  <c r="L22" i="40"/>
  <c r="J22" i="40"/>
  <c r="I22" i="40"/>
  <c r="H22" i="40"/>
  <c r="G22" i="40"/>
  <c r="E22" i="40"/>
  <c r="D22" i="40"/>
  <c r="A22" i="40"/>
  <c r="Q21" i="40"/>
  <c r="J21" i="40"/>
  <c r="I21" i="40"/>
  <c r="H21" i="40"/>
  <c r="G21" i="40"/>
  <c r="E21" i="40"/>
  <c r="D21" i="40"/>
  <c r="A21" i="40"/>
  <c r="Q20" i="40"/>
  <c r="J20" i="40"/>
  <c r="I20" i="40"/>
  <c r="G20" i="40"/>
  <c r="E20" i="40"/>
  <c r="D20" i="40"/>
  <c r="A20" i="40"/>
  <c r="Q19" i="40"/>
  <c r="P19" i="40"/>
  <c r="N19" i="40"/>
  <c r="L19" i="40"/>
  <c r="J19" i="40"/>
  <c r="I19" i="40"/>
  <c r="G19" i="40"/>
  <c r="E19" i="40"/>
  <c r="D19" i="40"/>
  <c r="A19" i="40"/>
  <c r="Q18" i="40"/>
  <c r="O18" i="40"/>
  <c r="P18" i="40"/>
  <c r="M18" i="40"/>
  <c r="N18" i="40"/>
  <c r="K18" i="40"/>
  <c r="L18" i="40"/>
  <c r="J18" i="40"/>
  <c r="I18" i="40"/>
  <c r="H18" i="40"/>
  <c r="G18" i="40"/>
  <c r="E18" i="40"/>
  <c r="D18" i="40"/>
  <c r="A18" i="40"/>
  <c r="Q17" i="40"/>
  <c r="O17" i="40"/>
  <c r="P17" i="40"/>
  <c r="M17" i="40"/>
  <c r="N17" i="40"/>
  <c r="K17" i="40"/>
  <c r="L17" i="40"/>
  <c r="J17" i="40"/>
  <c r="I17" i="40"/>
  <c r="H17" i="40"/>
  <c r="G17" i="40"/>
  <c r="E17" i="40"/>
  <c r="D17" i="40"/>
  <c r="A17" i="40"/>
  <c r="Q16" i="40"/>
  <c r="O16" i="40"/>
  <c r="P16" i="40"/>
  <c r="M16" i="40"/>
  <c r="N16" i="40"/>
  <c r="K16" i="40"/>
  <c r="L16" i="40"/>
  <c r="J16" i="40"/>
  <c r="I16" i="40"/>
  <c r="H16" i="40"/>
  <c r="G16" i="40"/>
  <c r="E16" i="40"/>
  <c r="D16" i="40"/>
  <c r="A16" i="40"/>
  <c r="Q15" i="40"/>
  <c r="O15" i="40"/>
  <c r="P15" i="40"/>
  <c r="M15" i="40"/>
  <c r="N15" i="40"/>
  <c r="K15" i="40"/>
  <c r="L15" i="40"/>
  <c r="J15" i="40"/>
  <c r="I15" i="40"/>
  <c r="H15" i="40"/>
  <c r="G15" i="40"/>
  <c r="E15" i="40"/>
  <c r="D15" i="40"/>
  <c r="A15" i="40"/>
  <c r="Q14" i="40"/>
  <c r="O14" i="40"/>
  <c r="P14" i="40"/>
  <c r="M14" i="40"/>
  <c r="N14" i="40"/>
  <c r="K14" i="40"/>
  <c r="L14" i="40"/>
  <c r="J14" i="40"/>
  <c r="I14" i="40"/>
  <c r="H14" i="40"/>
  <c r="G14" i="40"/>
  <c r="E14" i="40"/>
  <c r="D14" i="40"/>
  <c r="A14" i="40"/>
  <c r="Q13" i="40"/>
  <c r="P13" i="40"/>
  <c r="N13" i="40"/>
  <c r="L13" i="40"/>
  <c r="J13" i="40"/>
  <c r="I13" i="40"/>
  <c r="G13" i="40"/>
  <c r="E13" i="40"/>
  <c r="D13" i="40"/>
  <c r="A13" i="40"/>
  <c r="Q12" i="40"/>
  <c r="P12" i="40"/>
  <c r="N12" i="40"/>
  <c r="L12" i="40"/>
  <c r="J12" i="40"/>
  <c r="I12" i="40"/>
  <c r="G12" i="40"/>
  <c r="E12" i="40"/>
  <c r="D12" i="40"/>
  <c r="A12" i="40"/>
  <c r="B6" i="40"/>
  <c r="B9" i="5"/>
  <c r="B10" i="5"/>
  <c r="C2" i="7"/>
  <c r="C3" i="7"/>
  <c r="B7" i="5"/>
  <c r="B8" i="5"/>
</calcChain>
</file>

<file path=xl/sharedStrings.xml><?xml version="1.0" encoding="utf-8"?>
<sst xmlns="http://schemas.openxmlformats.org/spreadsheetml/2006/main" count="461" uniqueCount="179">
  <si>
    <t>Instrument</t>
  </si>
  <si>
    <t>!CLASSNAME</t>
  </si>
  <si>
    <t>!VERSION</t>
  </si>
  <si>
    <t>SHOT_ID</t>
  </si>
  <si>
    <t>DATA_TAXON</t>
  </si>
  <si>
    <t>!DATA</t>
  </si>
  <si>
    <t>!FIELD</t>
  </si>
  <si>
    <t>!VALUE</t>
  </si>
  <si>
    <t>!METADATA</t>
  </si>
  <si>
    <t>Comments (not parsed)</t>
  </si>
  <si>
    <t>Port</t>
  </si>
  <si>
    <t>Metric</t>
  </si>
  <si>
    <t>Value</t>
  </si>
  <si>
    <t>UOM</t>
  </si>
  <si>
    <t>Unc Type</t>
  </si>
  <si>
    <t>Sys Unc</t>
  </si>
  <si>
    <t>Stat Unc</t>
  </si>
  <si>
    <t>abs</t>
  </si>
  <si>
    <t xml:space="preserve"> Description</t>
  </si>
  <si>
    <t>Field</t>
  </si>
  <si>
    <t>Shot Id</t>
  </si>
  <si>
    <t>DataType</t>
  </si>
  <si>
    <t>string</t>
  </si>
  <si>
    <t>double</t>
  </si>
  <si>
    <t>Total Unc</t>
  </si>
  <si>
    <t>Row</t>
  </si>
  <si>
    <t>Col</t>
  </si>
  <si>
    <t>SourceRow</t>
  </si>
  <si>
    <t>SourceCol</t>
  </si>
  <si>
    <t>SourceSheet</t>
  </si>
  <si>
    <t>Ports</t>
  </si>
  <si>
    <t>Calculated</t>
  </si>
  <si>
    <t>Summary!$B$11</t>
  </si>
  <si>
    <t>2. Enter label of source column</t>
  </si>
  <si>
    <t>3. Copy / Paste | Special | Values into the "Static SourceSheet" section</t>
  </si>
  <si>
    <t>4. Valid column should be TRUE (not red)</t>
  </si>
  <si>
    <t>Static</t>
  </si>
  <si>
    <t>IsValid?</t>
  </si>
  <si>
    <t>1. Enter label of source row from Summary sheet (use underscores for spaces)</t>
  </si>
  <si>
    <t>Instruments</t>
  </si>
  <si>
    <t>Summary!$B$12</t>
  </si>
  <si>
    <t>Valid?</t>
  </si>
  <si>
    <t>Enter valid shot id (e.g. N100120-001-999)</t>
  </si>
  <si>
    <t>Click dropdown in cell for valid port options</t>
  </si>
  <si>
    <t>Summary!$B$13</t>
  </si>
  <si>
    <t>000-000</t>
  </si>
  <si>
    <t>Summary!$B$16</t>
  </si>
  <si>
    <t>Summary!$B$14</t>
  </si>
  <si>
    <t>Summary!$B$15</t>
  </si>
  <si>
    <t>090-078</t>
  </si>
  <si>
    <t>090-315</t>
  </si>
  <si>
    <t>Subsystem</t>
  </si>
  <si>
    <t>Data Quality</t>
  </si>
  <si>
    <t>T=good F=bad quality</t>
  </si>
  <si>
    <t>Quality Description</t>
  </si>
  <si>
    <t>(optional)</t>
  </si>
  <si>
    <t>QUALITY_FLAG</t>
  </si>
  <si>
    <t>QUALITY_REASON</t>
  </si>
  <si>
    <t>Summary!$B$17</t>
  </si>
  <si>
    <t>DESK-TD</t>
  </si>
  <si>
    <t>QualityList</t>
  </si>
  <si>
    <t>Y_KO-P / Y_n ratio</t>
  </si>
  <si>
    <t>Compr ablator &lt;ρR&gt; from ratio</t>
  </si>
  <si>
    <t>Shock D3He-p yield</t>
  </si>
  <si>
    <t>Compr D3He-p yield</t>
  </si>
  <si>
    <t>&lt;ρR&gt; at shock</t>
  </si>
  <si>
    <t>&lt;ρR&gt; at compression</t>
  </si>
  <si>
    <t>Compr ablator &lt;ρR&gt; from KO-P spec</t>
  </si>
  <si>
    <t>protons</t>
  </si>
  <si>
    <t>Proton yield (escaping implosion)</t>
  </si>
  <si>
    <t>Shock-burn averaged total areal density</t>
  </si>
  <si>
    <t>Ratio between KO-P yield and neutron yield</t>
  </si>
  <si>
    <t>WRF</t>
  </si>
  <si>
    <t>SHOCK_D3HE_P_YIELD</t>
  </si>
  <si>
    <t>SHOCK_D3HE_P_YIELD_1</t>
  </si>
  <si>
    <t>COMPR_D3HE_P_YIELD_1</t>
  </si>
  <si>
    <t>ρR_at_shock_1</t>
  </si>
  <si>
    <t>ρR_at_compression_1</t>
  </si>
  <si>
    <t>Y_KO_P_Y_n_ratio_1</t>
  </si>
  <si>
    <t>Compr_ablator_ρR_from_ratio_1</t>
  </si>
  <si>
    <t>Compr_ablator_ρR_from_KO_P_spec_1</t>
  </si>
  <si>
    <t>perc</t>
  </si>
  <si>
    <t>Compression-burn averaged total areal density</t>
  </si>
  <si>
    <t>Compression-burn averaged ablator areal density</t>
  </si>
  <si>
    <t>WRF UPPER-LEFT</t>
  </si>
  <si>
    <t>WRF# UPPER-RIGHT</t>
  </si>
  <si>
    <t>WRF# LOWER-LEFT</t>
  </si>
  <si>
    <t>WRF# LOWER_RIGHT</t>
  </si>
  <si>
    <t>WRF# CENTER</t>
  </si>
  <si>
    <t>ρR_at_shock_2</t>
  </si>
  <si>
    <t>ρR_at_compression_2</t>
  </si>
  <si>
    <t>Y_KO_P_Y_n_ratio_2</t>
  </si>
  <si>
    <t>Compr_ablator_ρR_from_ratio_2</t>
  </si>
  <si>
    <t>Compr_ablator_ρR_from_KO_P_spec_2</t>
  </si>
  <si>
    <t>Summary!$B$23</t>
  </si>
  <si>
    <t>Summary!$B$24</t>
  </si>
  <si>
    <t>Summary!$B$25</t>
  </si>
  <si>
    <t>Summary!$B$26</t>
  </si>
  <si>
    <t>Summary!$B$27</t>
  </si>
  <si>
    <t>SHOCK_D3HE_P_YIELD_2</t>
  </si>
  <si>
    <t>COMPR_D3HE_P_YIELD_2</t>
  </si>
  <si>
    <t>Summary!$B$21</t>
  </si>
  <si>
    <t>Summary!$B$22</t>
  </si>
  <si>
    <t>SHOCK_D3HE_P_YIELD_3</t>
  </si>
  <si>
    <t>COMPR_D3HE_P_YIELD_3</t>
  </si>
  <si>
    <t>ρR_at_shock_3</t>
  </si>
  <si>
    <t>ρR_at_compression_3</t>
  </si>
  <si>
    <t>Y_KO_P_Y_n_ratio_3</t>
  </si>
  <si>
    <t>Compr_ablator_ρR_from_ratio_3</t>
  </si>
  <si>
    <t>Compr_ablator_ρR_from_KO_P_spec_3</t>
  </si>
  <si>
    <t>Summary!$B$31</t>
  </si>
  <si>
    <t>Summary!$B$32</t>
  </si>
  <si>
    <t>Summary!$B$33</t>
  </si>
  <si>
    <t>Summary!$B$34</t>
  </si>
  <si>
    <t>Summary!$B$35</t>
  </si>
  <si>
    <t>Summary!$B$36</t>
  </si>
  <si>
    <t>Summary!$B$37</t>
  </si>
  <si>
    <t>COMPR_D3HE_P_YIELD_5</t>
  </si>
  <si>
    <t>SHOCK_D3HE_P_YIELD_5</t>
  </si>
  <si>
    <t>ρR_at_shock_5</t>
  </si>
  <si>
    <t>ρR_at_compression_5</t>
  </si>
  <si>
    <t>Y_KO_P_Y_n_ratio_5</t>
  </si>
  <si>
    <t>Compr_ablator_ρR_from_ratio_5</t>
  </si>
  <si>
    <t>Compr_ablator_ρR_from_KO_P_spec_5</t>
  </si>
  <si>
    <t>COMPR_D3HE_P_YIELD_4</t>
  </si>
  <si>
    <t>SHOCK_D3HE_P_YIELD_4</t>
  </si>
  <si>
    <t>ρR_at_shock_4</t>
  </si>
  <si>
    <t>ρR_at_compression_4</t>
  </si>
  <si>
    <t>Y_KO_P_Y_n_ratio_4</t>
  </si>
  <si>
    <t>Compr_ablator_ρR_from_ratio_4</t>
  </si>
  <si>
    <t>Compr_ablator_ρR_from_KO_P_spec_4</t>
  </si>
  <si>
    <t>Summary!$B$41</t>
  </si>
  <si>
    <t>Summary!$B$42</t>
  </si>
  <si>
    <t>Summary!$B$43</t>
  </si>
  <si>
    <t>Summary!$B$44</t>
  </si>
  <si>
    <t>Summary!$B$45</t>
  </si>
  <si>
    <t>Summary!$B$46</t>
  </si>
  <si>
    <t>Summary!$B$47</t>
  </si>
  <si>
    <t>Summary!$B$52</t>
  </si>
  <si>
    <t>Summary!$B$53</t>
  </si>
  <si>
    <t>Summary!$B$54</t>
  </si>
  <si>
    <t>Summary!$B$55</t>
  </si>
  <si>
    <t>Summary!$B$56</t>
  </si>
  <si>
    <t>Summary!$B$57</t>
  </si>
  <si>
    <t>Summary!$B$58</t>
  </si>
  <si>
    <t>mg/cm^2</t>
  </si>
  <si>
    <t>!TEMPLATE_TYPE</t>
  </si>
  <si>
    <t>EXPERIMENT_VALUES</t>
  </si>
  <si>
    <t>!TBL-DATA</t>
  </si>
  <si>
    <t>publicobject_array</t>
  </si>
  <si>
    <t>GOV.LLNL.NIF.NDR.CA.EXPERIMENT_VALUE</t>
  </si>
  <si>
    <t>!NUM_COLS</t>
  </si>
  <si>
    <t>HAS_DATA</t>
  </si>
  <si>
    <t>METRIC_NAME</t>
  </si>
  <si>
    <t>METRIC_LABEL</t>
  </si>
  <si>
    <t>METRIC_DESCRIPTION</t>
  </si>
  <si>
    <t>VALUE_DATATYPE</t>
  </si>
  <si>
    <t>STRING_VALUE</t>
  </si>
  <si>
    <t>DOUBLE_VALUE</t>
  </si>
  <si>
    <t>BOOLEAN_VALUE</t>
  </si>
  <si>
    <t>INTEGER_VALUE</t>
  </si>
  <si>
    <t>SYS_LOWER_UNC</t>
  </si>
  <si>
    <t>SYS_UPPER_UNC</t>
  </si>
  <si>
    <t>STAT_LOWER_UNC</t>
  </si>
  <si>
    <t>STAT_UPPER_UNC</t>
  </si>
  <si>
    <t>TOTAL_LOWER_UNC</t>
  </si>
  <si>
    <t>TOTAL_UPPER_UNC</t>
  </si>
  <si>
    <t>Static SourceSheet</t>
  </si>
  <si>
    <t>Calculated SourceSheet</t>
  </si>
  <si>
    <t>boolean</t>
  </si>
  <si>
    <t>integer</t>
  </si>
  <si>
    <t>RHOR_AT_SHOCK</t>
  </si>
  <si>
    <t>RHOR_AT_COMPRESSION</t>
  </si>
  <si>
    <t>COMPRESSION_D3HEP_YIELD</t>
  </si>
  <si>
    <t>KO_P_TO_NEUTRON_RATIO</t>
  </si>
  <si>
    <t>COMPRESSION_ABLATOR_RHOR_FROM_RATIO</t>
  </si>
  <si>
    <t>COMPRESSION_ABLATOR_RHOR_FROM_KO_P_SPEC</t>
  </si>
  <si>
    <t>GOV.LLNL.NIF.NDR.CA.EXPERIMENT_VALUES</t>
  </si>
  <si>
    <t>090-124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</si>
</sst>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(* #,##0.00_);_(* \(#,##0.00\);_(* &quot;-&quot;??_);_(@_)"/>
    <numFmt numFmtId="172" formatCode="0.0"/>
    <numFmt numFmtId="174" formatCode="#,##0.000"/>
    <numFmt numFmtId="175" formatCode="0.000"/>
    <numFmt numFmtId="176" formatCode="0.000E+00"/>
  </numFmts>
  <fonts count="16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2A00FF"/>
      <name val="Courier New"/>
      <family val="3"/>
    </font>
    <font>
      <sz val="9"/>
      <color rgb="FF000000"/>
      <name val="Arial"/>
      <family val="2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b/>
      <sz val="10"/>
      <color theme="0"/>
      <name val="Verdana"/>
      <family val="2"/>
    </font>
    <font>
      <b/>
      <sz val="9"/>
      <color rgb="FF000000"/>
      <name val="Verdan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3" tint="0.79998168889431442"/>
      </bottom>
      <diagonal/>
    </border>
    <border>
      <left/>
      <right style="thin">
        <color indexed="64"/>
      </right>
      <top style="thin">
        <color theme="3" tint="0.79998168889431442"/>
      </top>
      <bottom style="thin">
        <color theme="3" tint="0.79998168889431442"/>
      </bottom>
      <diagonal/>
    </border>
  </borders>
  <cellStyleXfs count="4">
    <xf numFmtId="0" fontId="0" fillId="0" borderId="0"/>
    <xf numFmtId="171" fontId="3" fillId="0" borderId="0" applyFont="0" applyFill="0" applyBorder="0" applyAlignment="0" applyProtection="0"/>
    <xf numFmtId="0" fontId="2" fillId="0" borderId="0"/>
    <xf numFmtId="0" fontId="5" fillId="0" borderId="0"/>
  </cellStyleXfs>
  <cellXfs count="123">
    <xf numFmtId="0" fontId="0" fillId="0" borderId="0" xfId="0"/>
    <xf numFmtId="0" fontId="2" fillId="0" borderId="0" xfId="0" applyFont="1"/>
    <xf numFmtId="0" fontId="4" fillId="0" borderId="0" xfId="1" applyNumberFormat="1" applyFont="1" applyFill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quotePrefix="1" applyFill="1"/>
    <xf numFmtId="172" fontId="0" fillId="0" borderId="0" xfId="0" applyNumberFormat="1" applyFill="1" applyAlignment="1">
      <alignment horizontal="left"/>
    </xf>
    <xf numFmtId="0" fontId="0" fillId="0" borderId="0" xfId="0" applyFill="1"/>
    <xf numFmtId="0" fontId="3" fillId="0" borderId="0" xfId="1" applyNumberFormat="1" applyFont="1" applyFill="1"/>
    <xf numFmtId="0" fontId="0" fillId="0" borderId="0" xfId="0" applyNumberFormat="1" applyFill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172" fontId="1" fillId="0" borderId="0" xfId="0" applyNumberFormat="1" applyFont="1" applyFill="1" applyAlignment="1">
      <alignment horizontal="left"/>
    </xf>
    <xf numFmtId="3" fontId="2" fillId="3" borderId="1" xfId="0" applyNumberFormat="1" applyFont="1" applyFill="1" applyBorder="1"/>
    <xf numFmtId="0" fontId="0" fillId="0" borderId="0" xfId="0" applyBorder="1"/>
    <xf numFmtId="0" fontId="2" fillId="0" borderId="0" xfId="0" applyFont="1" applyFill="1" applyAlignment="1">
      <alignment horizontal="left"/>
    </xf>
    <xf numFmtId="0" fontId="0" fillId="0" borderId="2" xfId="0" applyBorder="1"/>
    <xf numFmtId="0" fontId="0" fillId="0" borderId="3" xfId="0" applyBorder="1"/>
    <xf numFmtId="0" fontId="4" fillId="0" borderId="0" xfId="0" applyFont="1" applyBorder="1"/>
    <xf numFmtId="0" fontId="1" fillId="0" borderId="0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/>
    <xf numFmtId="0" fontId="2" fillId="0" borderId="5" xfId="0" applyFont="1" applyBorder="1"/>
    <xf numFmtId="0" fontId="2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71" fontId="0" fillId="0" borderId="0" xfId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3" fillId="0" borderId="5" xfId="0" applyFont="1" applyBorder="1" applyAlignment="1">
      <alignment horizontal="left"/>
    </xf>
    <xf numFmtId="0" fontId="2" fillId="0" borderId="5" xfId="0" applyFont="1" applyFill="1" applyBorder="1"/>
    <xf numFmtId="0" fontId="10" fillId="4" borderId="5" xfId="0" applyFont="1" applyFill="1" applyBorder="1"/>
    <xf numFmtId="0" fontId="11" fillId="4" borderId="0" xfId="0" applyFont="1" applyFill="1" applyBorder="1"/>
    <xf numFmtId="0" fontId="10" fillId="4" borderId="0" xfId="0" applyFont="1" applyFill="1" applyBorder="1"/>
    <xf numFmtId="0" fontId="10" fillId="4" borderId="5" xfId="0" applyFont="1" applyFill="1" applyBorder="1" applyAlignment="1">
      <alignment horizontal="left"/>
    </xf>
    <xf numFmtId="0" fontId="10" fillId="4" borderId="0" xfId="0" applyFont="1" applyFill="1" applyBorder="1" applyAlignment="1">
      <alignment horizontal="left"/>
    </xf>
    <xf numFmtId="49" fontId="2" fillId="3" borderId="1" xfId="0" applyNumberFormat="1" applyFont="1" applyFill="1" applyBorder="1" applyProtection="1">
      <protection locked="0"/>
    </xf>
    <xf numFmtId="0" fontId="12" fillId="4" borderId="1" xfId="0" applyFont="1" applyFill="1" applyBorder="1" applyAlignment="1" applyProtection="1">
      <alignment horizontal="left"/>
    </xf>
    <xf numFmtId="0" fontId="12" fillId="4" borderId="1" xfId="0" applyFont="1" applyFill="1" applyBorder="1" applyAlignment="1" applyProtection="1">
      <alignment horizontal="center"/>
    </xf>
    <xf numFmtId="0" fontId="0" fillId="0" borderId="0" xfId="0" applyProtection="1"/>
    <xf numFmtId="0" fontId="1" fillId="0" borderId="1" xfId="0" applyFont="1" applyBorder="1" applyAlignment="1" applyProtection="1">
      <alignment horizontal="left"/>
    </xf>
    <xf numFmtId="0" fontId="0" fillId="0" borderId="0" xfId="0" applyFill="1" applyProtection="1"/>
    <xf numFmtId="0" fontId="2" fillId="0" borderId="0" xfId="0" applyFont="1" applyProtection="1"/>
    <xf numFmtId="0" fontId="2" fillId="0" borderId="0" xfId="0" applyFont="1" applyFill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49" fontId="2" fillId="0" borderId="1" xfId="0" applyNumberFormat="1" applyFont="1" applyFill="1" applyBorder="1" applyProtection="1"/>
    <xf numFmtId="0" fontId="0" fillId="0" borderId="0" xfId="0" applyBorder="1" applyProtection="1"/>
    <xf numFmtId="0" fontId="1" fillId="0" borderId="0" xfId="0" applyFont="1" applyBorder="1" applyAlignment="1" applyProtection="1">
      <alignment horizontal="left"/>
    </xf>
    <xf numFmtId="0" fontId="2" fillId="5" borderId="0" xfId="0" applyFont="1" applyFill="1" applyBorder="1" applyProtection="1"/>
    <xf numFmtId="0" fontId="2" fillId="2" borderId="1" xfId="2" applyFont="1" applyFill="1" applyBorder="1" applyAlignment="1" applyProtection="1">
      <alignment horizontal="left"/>
    </xf>
    <xf numFmtId="9" fontId="2" fillId="2" borderId="1" xfId="2" applyNumberFormat="1" applyFont="1" applyFill="1" applyBorder="1" applyAlignment="1" applyProtection="1">
      <alignment horizontal="left"/>
    </xf>
    <xf numFmtId="0" fontId="2" fillId="3" borderId="0" xfId="2" applyFont="1" applyFill="1" applyBorder="1" applyAlignment="1">
      <alignment horizontal="left"/>
    </xf>
    <xf numFmtId="174" fontId="2" fillId="3" borderId="1" xfId="2" applyNumberFormat="1" applyFont="1" applyFill="1" applyBorder="1" applyAlignment="1" applyProtection="1">
      <alignment horizontal="left"/>
      <protection locked="0"/>
    </xf>
    <xf numFmtId="175" fontId="2" fillId="3" borderId="1" xfId="2" applyNumberFormat="1" applyFont="1" applyFill="1" applyBorder="1" applyAlignment="1" applyProtection="1">
      <alignment horizontal="right"/>
      <protection locked="0"/>
    </xf>
    <xf numFmtId="3" fontId="2" fillId="3" borderId="1" xfId="0" applyNumberFormat="1" applyFont="1" applyFill="1" applyBorder="1" applyAlignment="1">
      <alignment horizontal="left"/>
    </xf>
    <xf numFmtId="49" fontId="2" fillId="3" borderId="10" xfId="0" applyNumberFormat="1" applyFont="1" applyFill="1" applyBorder="1" applyAlignment="1" applyProtection="1">
      <alignment horizontal="left"/>
      <protection locked="0"/>
    </xf>
    <xf numFmtId="0" fontId="2" fillId="5" borderId="1" xfId="0" applyFont="1" applyFill="1" applyBorder="1" applyAlignment="1" applyProtection="1">
      <alignment horizontal="left"/>
    </xf>
    <xf numFmtId="9" fontId="2" fillId="5" borderId="1" xfId="0" applyNumberFormat="1" applyFont="1" applyFill="1" applyBorder="1" applyAlignment="1" applyProtection="1">
      <alignment horizontal="left"/>
    </xf>
    <xf numFmtId="0" fontId="2" fillId="0" borderId="1" xfId="2" applyBorder="1" applyProtection="1"/>
    <xf numFmtId="49" fontId="2" fillId="0" borderId="0" xfId="0" applyNumberFormat="1" applyFont="1" applyFill="1" applyBorder="1" applyAlignment="1" applyProtection="1">
      <alignment horizontal="left"/>
    </xf>
    <xf numFmtId="0" fontId="1" fillId="0" borderId="0" xfId="0" applyFont="1" applyProtection="1"/>
    <xf numFmtId="0" fontId="2" fillId="3" borderId="0" xfId="2" applyFill="1" applyBorder="1"/>
    <xf numFmtId="176" fontId="2" fillId="3" borderId="1" xfId="2" applyNumberFormat="1" applyFont="1" applyFill="1" applyBorder="1" applyAlignment="1" applyProtection="1">
      <alignment horizontal="right"/>
      <protection locked="0"/>
    </xf>
    <xf numFmtId="176" fontId="2" fillId="3" borderId="1" xfId="0" applyNumberFormat="1" applyFont="1" applyFill="1" applyBorder="1" applyAlignment="1" applyProtection="1">
      <alignment horizontal="right"/>
      <protection locked="0"/>
    </xf>
    <xf numFmtId="10" fontId="2" fillId="3" borderId="1" xfId="2" applyNumberFormat="1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2" fillId="0" borderId="0" xfId="3" applyFont="1" applyAlignment="1">
      <alignment horizontal="left"/>
    </xf>
    <xf numFmtId="0" fontId="8" fillId="0" borderId="0" xfId="3" applyFont="1"/>
    <xf numFmtId="0" fontId="10" fillId="4" borderId="0" xfId="3" applyFont="1" applyFill="1" applyBorder="1" applyAlignment="1">
      <alignment horizontal="left"/>
    </xf>
    <xf numFmtId="0" fontId="10" fillId="0" borderId="0" xfId="3" applyFont="1" applyFill="1" applyBorder="1" applyAlignment="1">
      <alignment horizontal="left"/>
    </xf>
    <xf numFmtId="0" fontId="5" fillId="0" borderId="0" xfId="3"/>
    <xf numFmtId="172" fontId="5" fillId="0" borderId="0" xfId="3" applyNumberFormat="1" applyFill="1" applyAlignment="1">
      <alignment horizontal="left"/>
    </xf>
    <xf numFmtId="0" fontId="5" fillId="0" borderId="0" xfId="3" applyFill="1"/>
    <xf numFmtId="0" fontId="2" fillId="3" borderId="0" xfId="3" applyFont="1" applyFill="1" applyBorder="1" applyAlignment="1">
      <alignment horizontal="left"/>
    </xf>
    <xf numFmtId="0" fontId="2" fillId="0" borderId="0" xfId="3" applyFont="1" applyFill="1" applyBorder="1" applyAlignment="1">
      <alignment horizontal="left"/>
    </xf>
    <xf numFmtId="0" fontId="5" fillId="0" borderId="0" xfId="3" quotePrefix="1" applyFill="1"/>
    <xf numFmtId="0" fontId="2" fillId="0" borderId="9" xfId="3" applyFont="1" applyBorder="1"/>
    <xf numFmtId="0" fontId="5" fillId="0" borderId="2" xfId="3" applyBorder="1"/>
    <xf numFmtId="0" fontId="5" fillId="0" borderId="3" xfId="3" applyBorder="1"/>
    <xf numFmtId="172" fontId="1" fillId="0" borderId="0" xfId="3" applyNumberFormat="1" applyFont="1" applyFill="1" applyAlignment="1">
      <alignment horizontal="left"/>
    </xf>
    <xf numFmtId="0" fontId="3" fillId="0" borderId="5" xfId="3" applyFont="1" applyBorder="1" applyAlignment="1">
      <alignment horizontal="left"/>
    </xf>
    <xf numFmtId="0" fontId="4" fillId="0" borderId="0" xfId="3" applyFont="1" applyBorder="1"/>
    <xf numFmtId="0" fontId="1" fillId="0" borderId="0" xfId="3" applyFont="1" applyBorder="1"/>
    <xf numFmtId="0" fontId="5" fillId="0" borderId="0" xfId="3" applyBorder="1"/>
    <xf numFmtId="0" fontId="5" fillId="0" borderId="4" xfId="3" applyBorder="1"/>
    <xf numFmtId="0" fontId="5" fillId="0" borderId="0" xfId="3" applyNumberFormat="1" applyFill="1" applyAlignment="1">
      <alignment horizontal="left"/>
    </xf>
    <xf numFmtId="0" fontId="2" fillId="0" borderId="5" xfId="3" applyFont="1" applyBorder="1"/>
    <xf numFmtId="0" fontId="2" fillId="0" borderId="0" xfId="3" applyFont="1" applyBorder="1"/>
    <xf numFmtId="0" fontId="9" fillId="0" borderId="0" xfId="3" applyFont="1" applyAlignment="1">
      <alignment horizontal="left"/>
    </xf>
    <xf numFmtId="1" fontId="9" fillId="0" borderId="0" xfId="3" applyNumberFormat="1" applyFont="1" applyAlignment="1">
      <alignment horizontal="left"/>
    </xf>
    <xf numFmtId="0" fontId="1" fillId="0" borderId="0" xfId="1" applyNumberFormat="1" applyFont="1" applyFill="1"/>
    <xf numFmtId="0" fontId="13" fillId="0" borderId="0" xfId="3" applyFont="1" applyAlignment="1">
      <alignment horizontal="left"/>
    </xf>
    <xf numFmtId="0" fontId="1" fillId="0" borderId="0" xfId="3" applyFont="1" applyFill="1"/>
    <xf numFmtId="0" fontId="6" fillId="4" borderId="1" xfId="3" applyFont="1" applyFill="1" applyBorder="1" applyAlignment="1">
      <alignment wrapText="1"/>
    </xf>
    <xf numFmtId="0" fontId="6" fillId="4" borderId="1" xfId="3" applyFont="1" applyFill="1" applyBorder="1"/>
    <xf numFmtId="0" fontId="2" fillId="0" borderId="0" xfId="3" applyFont="1" applyFill="1"/>
    <xf numFmtId="0" fontId="5" fillId="0" borderId="5" xfId="3" applyFill="1" applyBorder="1"/>
    <xf numFmtId="0" fontId="7" fillId="0" borderId="0" xfId="3" applyFont="1" applyFill="1" applyBorder="1"/>
    <xf numFmtId="0" fontId="7" fillId="0" borderId="4" xfId="3" applyFont="1" applyFill="1" applyBorder="1"/>
    <xf numFmtId="0" fontId="2" fillId="0" borderId="0" xfId="3" applyNumberFormat="1" applyFont="1" applyFill="1" applyBorder="1" applyProtection="1"/>
    <xf numFmtId="0" fontId="5" fillId="0" borderId="5" xfId="3" applyNumberFormat="1" applyFont="1" applyFill="1" applyBorder="1" applyProtection="1"/>
    <xf numFmtId="0" fontId="2" fillId="6" borderId="0" xfId="3" applyFont="1" applyFill="1" applyBorder="1"/>
    <xf numFmtId="0" fontId="5" fillId="0" borderId="0" xfId="3" applyFont="1" applyBorder="1"/>
    <xf numFmtId="0" fontId="14" fillId="0" borderId="0" xfId="3" applyFont="1"/>
    <xf numFmtId="0" fontId="2" fillId="0" borderId="14" xfId="3" applyNumberFormat="1" applyFont="1" applyFill="1" applyBorder="1" applyProtection="1"/>
    <xf numFmtId="0" fontId="2" fillId="0" borderId="15" xfId="3" applyNumberFormat="1" applyFont="1" applyFill="1" applyBorder="1" applyProtection="1"/>
    <xf numFmtId="0" fontId="2" fillId="0" borderId="5" xfId="3" applyNumberFormat="1" applyFont="1" applyFill="1" applyBorder="1" applyProtection="1"/>
    <xf numFmtId="0" fontId="15" fillId="0" borderId="5" xfId="3" applyFont="1" applyBorder="1"/>
    <xf numFmtId="0" fontId="5" fillId="0" borderId="8" xfId="3" applyBorder="1"/>
    <xf numFmtId="0" fontId="5" fillId="0" borderId="0" xfId="3" applyAlignment="1">
      <alignment horizontal="left"/>
    </xf>
    <xf numFmtId="0" fontId="6" fillId="0" borderId="5" xfId="3" applyFont="1" applyFill="1" applyBorder="1"/>
    <xf numFmtId="49" fontId="2" fillId="3" borderId="11" xfId="0" applyNumberFormat="1" applyFont="1" applyFill="1" applyBorder="1" applyAlignment="1" applyProtection="1">
      <alignment horizontal="left"/>
      <protection locked="0"/>
    </xf>
    <xf numFmtId="49" fontId="2" fillId="3" borderId="12" xfId="0" applyNumberFormat="1" applyFont="1" applyFill="1" applyBorder="1" applyAlignment="1" applyProtection="1">
      <alignment horizontal="left"/>
      <protection locked="0"/>
    </xf>
    <xf numFmtId="49" fontId="2" fillId="3" borderId="13" xfId="0" applyNumberFormat="1" applyFont="1" applyFill="1" applyBorder="1" applyAlignment="1" applyProtection="1">
      <alignment horizontal="left"/>
      <protection locked="0"/>
    </xf>
  </cellXfs>
  <cellStyles count="4">
    <cellStyle name="Comma 2" xfId="1"/>
    <cellStyle name="Normal" xfId="0" builtinId="0"/>
    <cellStyle name="Normal 2" xfId="2"/>
    <cellStyle name="Normal 3" xfId="3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8"/>
  <sheetViews>
    <sheetView tabSelected="1" workbookViewId="0">
      <selection activeCell="C61" sqref="C61"/>
    </sheetView>
  </sheetViews>
  <sheetFormatPr defaultColWidth="11" defaultRowHeight="13.5" x14ac:dyDescent="0.3"/>
  <cols>
    <col min="1" max="1" width="30.3828125" style="45" bestFit="1" customWidth="1"/>
    <col min="2" max="2" width="18.3828125" style="45" customWidth="1"/>
    <col min="3" max="3" width="9.4609375" style="45" customWidth="1"/>
    <col min="4" max="4" width="8.15234375" style="45" bestFit="1" customWidth="1"/>
    <col min="5" max="5" width="8.61328125" style="45" bestFit="1" customWidth="1"/>
    <col min="6" max="6" width="10.84375" style="45" customWidth="1"/>
    <col min="7" max="7" width="9.3828125" style="45" bestFit="1" customWidth="1"/>
    <col min="8" max="8" width="53" style="45" bestFit="1" customWidth="1"/>
    <col min="9" max="9" width="16.61328125" style="45" customWidth="1"/>
    <col min="10" max="10" width="14.15234375" style="45" customWidth="1"/>
    <col min="11" max="11" width="17.61328125" style="45" customWidth="1"/>
    <col min="12" max="12" width="17.15234375" style="45" customWidth="1"/>
    <col min="13" max="15" width="14.15234375" style="45" customWidth="1"/>
    <col min="16" max="17" width="24.61328125" style="45" customWidth="1"/>
    <col min="18" max="18" width="39" style="45" customWidth="1"/>
    <col min="19" max="16384" width="11" style="45"/>
  </cols>
  <sheetData>
    <row r="1" spans="1:13" x14ac:dyDescent="0.3">
      <c r="A1" s="43" t="s">
        <v>19</v>
      </c>
      <c r="B1" s="43" t="s">
        <v>12</v>
      </c>
      <c r="C1" s="44" t="s">
        <v>41</v>
      </c>
    </row>
    <row r="2" spans="1:13" x14ac:dyDescent="0.3">
      <c r="A2" s="46" t="s">
        <v>20</v>
      </c>
      <c r="B2" s="42"/>
      <c r="C2" s="47" t="b">
        <f>AND(LEN(SHOT_ID)=15,ISTEXT(LEFT(SHOT_ID,1))=TRUE,MID(SHOT_ID,8,1)="-",ISNUMBER(VALUE(MID(SHOT_ID,2,6))),MID(SHOT_ID,12,1)="-",ISNUMBER(VALUE(MID(SHOT_ID,9,3))),ISNUMBER(VALUE(MID(SHOT_ID,13,3))))</f>
        <v>0</v>
      </c>
      <c r="D2" s="48" t="s">
        <v>42</v>
      </c>
    </row>
    <row r="3" spans="1:13" s="51" customFormat="1" x14ac:dyDescent="0.3">
      <c r="A3" s="46" t="s">
        <v>10</v>
      </c>
      <c r="B3" s="42"/>
      <c r="C3" s="49" t="b">
        <f>AND(NOT(ISBLANK(B3)),NOT(ISNA(VLOOKUP(Port,Ports,1,FALSE)=Port)))</f>
        <v>0</v>
      </c>
      <c r="D3" s="50" t="s">
        <v>43</v>
      </c>
      <c r="M3" s="52"/>
    </row>
    <row r="4" spans="1:13" x14ac:dyDescent="0.3">
      <c r="A4" s="46" t="s">
        <v>0</v>
      </c>
      <c r="B4" s="53" t="s">
        <v>72</v>
      </c>
      <c r="M4" s="54"/>
    </row>
    <row r="5" spans="1:13" x14ac:dyDescent="0.3">
      <c r="A5" s="46" t="s">
        <v>52</v>
      </c>
      <c r="B5" s="63" t="b">
        <v>1</v>
      </c>
      <c r="C5" s="48" t="s">
        <v>53</v>
      </c>
      <c r="M5" s="54"/>
    </row>
    <row r="6" spans="1:13" x14ac:dyDescent="0.3">
      <c r="A6" s="46" t="s">
        <v>54</v>
      </c>
      <c r="B6" s="120"/>
      <c r="C6" s="121"/>
      <c r="D6" s="121"/>
      <c r="E6" s="121"/>
      <c r="F6" s="121"/>
      <c r="G6" s="122"/>
      <c r="H6" s="48" t="s">
        <v>55</v>
      </c>
      <c r="M6" s="54"/>
    </row>
    <row r="7" spans="1:13" x14ac:dyDescent="0.3">
      <c r="A7" s="55"/>
      <c r="B7" s="67"/>
      <c r="C7" s="67"/>
      <c r="D7" s="67"/>
      <c r="E7" s="67"/>
      <c r="F7" s="67"/>
      <c r="G7" s="67"/>
      <c r="H7" s="48"/>
      <c r="M7" s="54"/>
    </row>
    <row r="8" spans="1:13" x14ac:dyDescent="0.3">
      <c r="A8" s="55"/>
      <c r="B8" s="67"/>
      <c r="C8" s="67"/>
      <c r="D8" s="67"/>
      <c r="E8" s="67"/>
      <c r="F8" s="67"/>
      <c r="G8" s="67"/>
      <c r="H8" s="48"/>
      <c r="M8" s="54"/>
    </row>
    <row r="9" spans="1:13" x14ac:dyDescent="0.3">
      <c r="A9" s="55" t="s">
        <v>84</v>
      </c>
      <c r="B9" s="56"/>
      <c r="M9" s="54"/>
    </row>
    <row r="10" spans="1:13" x14ac:dyDescent="0.3">
      <c r="A10" s="43" t="s">
        <v>19</v>
      </c>
      <c r="B10" s="43"/>
      <c r="C10" s="43" t="s">
        <v>13</v>
      </c>
      <c r="D10" s="43" t="s">
        <v>15</v>
      </c>
      <c r="E10" s="43" t="s">
        <v>16</v>
      </c>
      <c r="F10" s="43" t="s">
        <v>24</v>
      </c>
      <c r="G10" s="43" t="s">
        <v>14</v>
      </c>
      <c r="H10" s="43" t="s">
        <v>18</v>
      </c>
      <c r="I10" s="47"/>
    </row>
    <row r="11" spans="1:13" x14ac:dyDescent="0.3">
      <c r="A11" s="57" t="s">
        <v>63</v>
      </c>
      <c r="B11" s="70"/>
      <c r="C11" s="57" t="s">
        <v>68</v>
      </c>
      <c r="D11" s="72"/>
      <c r="E11" s="72"/>
      <c r="F11" s="72"/>
      <c r="G11" s="58" t="s">
        <v>81</v>
      </c>
      <c r="H11" s="58" t="s">
        <v>69</v>
      </c>
    </row>
    <row r="12" spans="1:13" x14ac:dyDescent="0.3">
      <c r="A12" s="64" t="s">
        <v>64</v>
      </c>
      <c r="B12" s="71"/>
      <c r="C12" s="64" t="s">
        <v>68</v>
      </c>
      <c r="D12" s="72"/>
      <c r="E12" s="72"/>
      <c r="F12" s="72"/>
      <c r="G12" s="65" t="s">
        <v>81</v>
      </c>
      <c r="H12" s="66" t="s">
        <v>69</v>
      </c>
    </row>
    <row r="13" spans="1:13" x14ac:dyDescent="0.3">
      <c r="A13" s="57" t="s">
        <v>65</v>
      </c>
      <c r="B13" s="61"/>
      <c r="C13" s="57" t="s">
        <v>145</v>
      </c>
      <c r="D13" s="60"/>
      <c r="E13" s="60"/>
      <c r="F13" s="60"/>
      <c r="G13" s="58" t="s">
        <v>17</v>
      </c>
      <c r="H13" s="58" t="s">
        <v>70</v>
      </c>
    </row>
    <row r="14" spans="1:13" x14ac:dyDescent="0.3">
      <c r="A14" s="57" t="s">
        <v>66</v>
      </c>
      <c r="B14" s="61"/>
      <c r="C14" s="57" t="s">
        <v>145</v>
      </c>
      <c r="D14" s="60"/>
      <c r="E14" s="60"/>
      <c r="F14" s="60"/>
      <c r="G14" s="58" t="s">
        <v>17</v>
      </c>
      <c r="H14" s="58" t="s">
        <v>82</v>
      </c>
    </row>
    <row r="15" spans="1:13" x14ac:dyDescent="0.3">
      <c r="A15" s="57" t="s">
        <v>61</v>
      </c>
      <c r="B15" s="61"/>
      <c r="C15" s="57"/>
      <c r="D15" s="60"/>
      <c r="E15" s="60"/>
      <c r="F15" s="60"/>
      <c r="G15" s="58" t="s">
        <v>17</v>
      </c>
      <c r="H15" s="58" t="s">
        <v>71</v>
      </c>
    </row>
    <row r="16" spans="1:13" x14ac:dyDescent="0.3">
      <c r="A16" s="57" t="s">
        <v>62</v>
      </c>
      <c r="B16" s="61"/>
      <c r="C16" s="57" t="s">
        <v>145</v>
      </c>
      <c r="D16" s="60"/>
      <c r="E16" s="60"/>
      <c r="F16" s="60"/>
      <c r="G16" s="58" t="s">
        <v>17</v>
      </c>
      <c r="H16" s="58" t="s">
        <v>83</v>
      </c>
    </row>
    <row r="17" spans="1:9" x14ac:dyDescent="0.3">
      <c r="A17" s="57" t="s">
        <v>67</v>
      </c>
      <c r="B17" s="61"/>
      <c r="C17" s="57" t="s">
        <v>145</v>
      </c>
      <c r="D17" s="60"/>
      <c r="E17" s="60"/>
      <c r="F17" s="60"/>
      <c r="G17" s="58" t="s">
        <v>17</v>
      </c>
      <c r="H17" s="58" t="s">
        <v>83</v>
      </c>
    </row>
    <row r="19" spans="1:9" x14ac:dyDescent="0.3">
      <c r="A19" s="68" t="s">
        <v>85</v>
      </c>
    </row>
    <row r="20" spans="1:9" x14ac:dyDescent="0.3">
      <c r="A20" s="43" t="s">
        <v>19</v>
      </c>
      <c r="B20" s="43"/>
      <c r="C20" s="43" t="s">
        <v>13</v>
      </c>
      <c r="D20" s="43" t="s">
        <v>15</v>
      </c>
      <c r="E20" s="43" t="s">
        <v>16</v>
      </c>
      <c r="F20" s="43" t="s">
        <v>24</v>
      </c>
      <c r="G20" s="43" t="s">
        <v>14</v>
      </c>
      <c r="H20" s="43" t="s">
        <v>18</v>
      </c>
    </row>
    <row r="21" spans="1:9" x14ac:dyDescent="0.3">
      <c r="A21" s="57" t="s">
        <v>63</v>
      </c>
      <c r="B21" s="70"/>
      <c r="C21" s="57" t="s">
        <v>68</v>
      </c>
      <c r="D21" s="72"/>
      <c r="E21" s="72"/>
      <c r="F21" s="72"/>
      <c r="G21" s="58" t="s">
        <v>81</v>
      </c>
      <c r="H21" s="58" t="s">
        <v>69</v>
      </c>
      <c r="I21" s="48"/>
    </row>
    <row r="22" spans="1:9" x14ac:dyDescent="0.3">
      <c r="A22" s="64" t="s">
        <v>64</v>
      </c>
      <c r="B22" s="71"/>
      <c r="C22" s="64" t="s">
        <v>68</v>
      </c>
      <c r="D22" s="72"/>
      <c r="E22" s="72"/>
      <c r="F22" s="72"/>
      <c r="G22" s="65" t="s">
        <v>81</v>
      </c>
      <c r="H22" s="66" t="s">
        <v>69</v>
      </c>
    </row>
    <row r="23" spans="1:9" x14ac:dyDescent="0.3">
      <c r="A23" s="57" t="s">
        <v>65</v>
      </c>
      <c r="B23" s="61"/>
      <c r="C23" s="57" t="s">
        <v>145</v>
      </c>
      <c r="D23" s="60"/>
      <c r="E23" s="60"/>
      <c r="F23" s="60"/>
      <c r="G23" s="58" t="s">
        <v>17</v>
      </c>
      <c r="H23" s="58" t="s">
        <v>70</v>
      </c>
    </row>
    <row r="24" spans="1:9" x14ac:dyDescent="0.3">
      <c r="A24" s="57" t="s">
        <v>66</v>
      </c>
      <c r="B24" s="61"/>
      <c r="C24" s="57" t="s">
        <v>145</v>
      </c>
      <c r="D24" s="60"/>
      <c r="E24" s="60"/>
      <c r="F24" s="60"/>
      <c r="G24" s="58" t="s">
        <v>17</v>
      </c>
      <c r="H24" s="58" t="s">
        <v>82</v>
      </c>
    </row>
    <row r="25" spans="1:9" x14ac:dyDescent="0.3">
      <c r="A25" s="57" t="s">
        <v>61</v>
      </c>
      <c r="B25" s="61"/>
      <c r="C25" s="57"/>
      <c r="D25" s="60"/>
      <c r="E25" s="60"/>
      <c r="F25" s="60"/>
      <c r="G25" s="58" t="s">
        <v>17</v>
      </c>
      <c r="H25" s="58" t="s">
        <v>71</v>
      </c>
    </row>
    <row r="26" spans="1:9" x14ac:dyDescent="0.3">
      <c r="A26" s="57" t="s">
        <v>62</v>
      </c>
      <c r="B26" s="61"/>
      <c r="C26" s="57" t="s">
        <v>145</v>
      </c>
      <c r="D26" s="60"/>
      <c r="E26" s="60"/>
      <c r="F26" s="60"/>
      <c r="G26" s="58" t="s">
        <v>17</v>
      </c>
      <c r="H26" s="58" t="s">
        <v>83</v>
      </c>
    </row>
    <row r="27" spans="1:9" x14ac:dyDescent="0.3">
      <c r="A27" s="57" t="s">
        <v>67</v>
      </c>
      <c r="B27" s="61"/>
      <c r="C27" s="57" t="s">
        <v>145</v>
      </c>
      <c r="D27" s="60"/>
      <c r="E27" s="60"/>
      <c r="F27" s="60"/>
      <c r="G27" s="58" t="s">
        <v>17</v>
      </c>
      <c r="H27" s="58" t="s">
        <v>83</v>
      </c>
    </row>
    <row r="29" spans="1:9" x14ac:dyDescent="0.3">
      <c r="A29" s="68" t="s">
        <v>86</v>
      </c>
    </row>
    <row r="30" spans="1:9" x14ac:dyDescent="0.3">
      <c r="A30" s="43" t="s">
        <v>19</v>
      </c>
      <c r="B30" s="43"/>
      <c r="C30" s="43" t="s">
        <v>13</v>
      </c>
      <c r="D30" s="43" t="s">
        <v>15</v>
      </c>
      <c r="E30" s="43" t="s">
        <v>16</v>
      </c>
      <c r="F30" s="43" t="s">
        <v>24</v>
      </c>
      <c r="G30" s="43" t="s">
        <v>14</v>
      </c>
      <c r="H30" s="43" t="s">
        <v>18</v>
      </c>
    </row>
    <row r="31" spans="1:9" x14ac:dyDescent="0.3">
      <c r="A31" s="57" t="s">
        <v>63</v>
      </c>
      <c r="B31" s="70"/>
      <c r="C31" s="57" t="s">
        <v>68</v>
      </c>
      <c r="D31" s="72"/>
      <c r="E31" s="72"/>
      <c r="F31" s="72"/>
      <c r="G31" s="58" t="s">
        <v>81</v>
      </c>
      <c r="H31" s="58" t="s">
        <v>69</v>
      </c>
    </row>
    <row r="32" spans="1:9" x14ac:dyDescent="0.3">
      <c r="A32" s="64" t="s">
        <v>64</v>
      </c>
      <c r="B32" s="71"/>
      <c r="C32" s="64" t="s">
        <v>68</v>
      </c>
      <c r="D32" s="72"/>
      <c r="E32" s="72"/>
      <c r="F32" s="72"/>
      <c r="G32" s="65" t="s">
        <v>81</v>
      </c>
      <c r="H32" s="66" t="s">
        <v>69</v>
      </c>
    </row>
    <row r="33" spans="1:8" x14ac:dyDescent="0.3">
      <c r="A33" s="57" t="s">
        <v>65</v>
      </c>
      <c r="B33" s="61"/>
      <c r="C33" s="57" t="s">
        <v>145</v>
      </c>
      <c r="D33" s="60"/>
      <c r="E33" s="60"/>
      <c r="F33" s="60"/>
      <c r="G33" s="58" t="s">
        <v>17</v>
      </c>
      <c r="H33" s="58" t="s">
        <v>70</v>
      </c>
    </row>
    <row r="34" spans="1:8" x14ac:dyDescent="0.3">
      <c r="A34" s="57" t="s">
        <v>66</v>
      </c>
      <c r="B34" s="61"/>
      <c r="C34" s="57" t="s">
        <v>145</v>
      </c>
      <c r="D34" s="60"/>
      <c r="E34" s="60"/>
      <c r="F34" s="60"/>
      <c r="G34" s="58" t="s">
        <v>17</v>
      </c>
      <c r="H34" s="58" t="s">
        <v>82</v>
      </c>
    </row>
    <row r="35" spans="1:8" x14ac:dyDescent="0.3">
      <c r="A35" s="57" t="s">
        <v>61</v>
      </c>
      <c r="B35" s="61"/>
      <c r="C35" s="57"/>
      <c r="D35" s="60"/>
      <c r="E35" s="60"/>
      <c r="F35" s="60"/>
      <c r="G35" s="58" t="s">
        <v>17</v>
      </c>
      <c r="H35" s="58" t="s">
        <v>71</v>
      </c>
    </row>
    <row r="36" spans="1:8" x14ac:dyDescent="0.3">
      <c r="A36" s="57" t="s">
        <v>62</v>
      </c>
      <c r="B36" s="61"/>
      <c r="C36" s="57" t="s">
        <v>145</v>
      </c>
      <c r="D36" s="60"/>
      <c r="E36" s="60"/>
      <c r="F36" s="60"/>
      <c r="G36" s="58" t="s">
        <v>17</v>
      </c>
      <c r="H36" s="58" t="s">
        <v>83</v>
      </c>
    </row>
    <row r="37" spans="1:8" x14ac:dyDescent="0.3">
      <c r="A37" s="57" t="s">
        <v>67</v>
      </c>
      <c r="B37" s="61"/>
      <c r="C37" s="57" t="s">
        <v>145</v>
      </c>
      <c r="D37" s="60"/>
      <c r="E37" s="60"/>
      <c r="F37" s="60"/>
      <c r="G37" s="58" t="s">
        <v>17</v>
      </c>
      <c r="H37" s="58" t="s">
        <v>83</v>
      </c>
    </row>
    <row r="39" spans="1:8" x14ac:dyDescent="0.3">
      <c r="A39" s="68" t="s">
        <v>87</v>
      </c>
    </row>
    <row r="40" spans="1:8" x14ac:dyDescent="0.3">
      <c r="A40" s="43" t="s">
        <v>19</v>
      </c>
      <c r="B40" s="43"/>
      <c r="C40" s="43" t="s">
        <v>13</v>
      </c>
      <c r="D40" s="43" t="s">
        <v>15</v>
      </c>
      <c r="E40" s="43" t="s">
        <v>16</v>
      </c>
      <c r="F40" s="43" t="s">
        <v>24</v>
      </c>
      <c r="G40" s="43" t="s">
        <v>14</v>
      </c>
      <c r="H40" s="43" t="s">
        <v>18</v>
      </c>
    </row>
    <row r="41" spans="1:8" x14ac:dyDescent="0.3">
      <c r="A41" s="57" t="s">
        <v>63</v>
      </c>
      <c r="B41" s="70"/>
      <c r="C41" s="57" t="s">
        <v>68</v>
      </c>
      <c r="D41" s="72"/>
      <c r="E41" s="72"/>
      <c r="F41" s="72"/>
      <c r="G41" s="58" t="s">
        <v>81</v>
      </c>
      <c r="H41" s="58" t="s">
        <v>69</v>
      </c>
    </row>
    <row r="42" spans="1:8" x14ac:dyDescent="0.3">
      <c r="A42" s="64" t="s">
        <v>64</v>
      </c>
      <c r="B42" s="71"/>
      <c r="C42" s="64" t="s">
        <v>68</v>
      </c>
      <c r="D42" s="72"/>
      <c r="E42" s="72"/>
      <c r="F42" s="72"/>
      <c r="G42" s="65" t="s">
        <v>81</v>
      </c>
      <c r="H42" s="66" t="s">
        <v>69</v>
      </c>
    </row>
    <row r="43" spans="1:8" x14ac:dyDescent="0.3">
      <c r="A43" s="57" t="s">
        <v>65</v>
      </c>
      <c r="B43" s="61"/>
      <c r="C43" s="57" t="s">
        <v>145</v>
      </c>
      <c r="D43" s="60"/>
      <c r="E43" s="60"/>
      <c r="F43" s="60"/>
      <c r="G43" s="58" t="s">
        <v>17</v>
      </c>
      <c r="H43" s="58" t="s">
        <v>70</v>
      </c>
    </row>
    <row r="44" spans="1:8" x14ac:dyDescent="0.3">
      <c r="A44" s="57" t="s">
        <v>66</v>
      </c>
      <c r="B44" s="61"/>
      <c r="C44" s="57" t="s">
        <v>145</v>
      </c>
      <c r="D44" s="60"/>
      <c r="E44" s="60"/>
      <c r="F44" s="60"/>
      <c r="G44" s="58" t="s">
        <v>17</v>
      </c>
      <c r="H44" s="58" t="s">
        <v>82</v>
      </c>
    </row>
    <row r="45" spans="1:8" x14ac:dyDescent="0.3">
      <c r="A45" s="57" t="s">
        <v>61</v>
      </c>
      <c r="B45" s="61"/>
      <c r="C45" s="57"/>
      <c r="D45" s="60"/>
      <c r="E45" s="60"/>
      <c r="F45" s="60"/>
      <c r="G45" s="58" t="s">
        <v>17</v>
      </c>
      <c r="H45" s="58" t="s">
        <v>71</v>
      </c>
    </row>
    <row r="46" spans="1:8" x14ac:dyDescent="0.3">
      <c r="A46" s="57" t="s">
        <v>62</v>
      </c>
      <c r="B46" s="61"/>
      <c r="C46" s="57" t="s">
        <v>145</v>
      </c>
      <c r="D46" s="60"/>
      <c r="E46" s="60"/>
      <c r="F46" s="60"/>
      <c r="G46" s="58" t="s">
        <v>17</v>
      </c>
      <c r="H46" s="58" t="s">
        <v>83</v>
      </c>
    </row>
    <row r="47" spans="1:8" x14ac:dyDescent="0.3">
      <c r="A47" s="57" t="s">
        <v>67</v>
      </c>
      <c r="B47" s="61"/>
      <c r="C47" s="57" t="s">
        <v>145</v>
      </c>
      <c r="D47" s="60"/>
      <c r="E47" s="60"/>
      <c r="F47" s="60"/>
      <c r="G47" s="58" t="s">
        <v>17</v>
      </c>
      <c r="H47" s="58" t="s">
        <v>83</v>
      </c>
    </row>
    <row r="50" spans="1:8" x14ac:dyDescent="0.3">
      <c r="A50" s="68" t="s">
        <v>88</v>
      </c>
    </row>
    <row r="51" spans="1:8" x14ac:dyDescent="0.3">
      <c r="A51" s="43" t="s">
        <v>19</v>
      </c>
      <c r="B51" s="43"/>
      <c r="C51" s="43" t="s">
        <v>13</v>
      </c>
      <c r="D51" s="43" t="s">
        <v>15</v>
      </c>
      <c r="E51" s="43" t="s">
        <v>16</v>
      </c>
      <c r="F51" s="43" t="s">
        <v>24</v>
      </c>
      <c r="G51" s="43" t="s">
        <v>14</v>
      </c>
      <c r="H51" s="43" t="s">
        <v>18</v>
      </c>
    </row>
    <row r="52" spans="1:8" x14ac:dyDescent="0.3">
      <c r="A52" s="57" t="s">
        <v>63</v>
      </c>
      <c r="B52" s="70"/>
      <c r="C52" s="57" t="s">
        <v>68</v>
      </c>
      <c r="D52" s="72"/>
      <c r="E52" s="72"/>
      <c r="F52" s="72"/>
      <c r="G52" s="58" t="s">
        <v>81</v>
      </c>
      <c r="H52" s="58" t="s">
        <v>69</v>
      </c>
    </row>
    <row r="53" spans="1:8" x14ac:dyDescent="0.3">
      <c r="A53" s="64" t="s">
        <v>64</v>
      </c>
      <c r="B53" s="71"/>
      <c r="C53" s="64" t="s">
        <v>68</v>
      </c>
      <c r="D53" s="72"/>
      <c r="E53" s="72"/>
      <c r="F53" s="72"/>
      <c r="G53" s="65" t="s">
        <v>81</v>
      </c>
      <c r="H53" s="66" t="s">
        <v>69</v>
      </c>
    </row>
    <row r="54" spans="1:8" x14ac:dyDescent="0.3">
      <c r="A54" s="57" t="s">
        <v>65</v>
      </c>
      <c r="B54" s="61"/>
      <c r="C54" s="57" t="s">
        <v>145</v>
      </c>
      <c r="D54" s="60"/>
      <c r="E54" s="60"/>
      <c r="F54" s="60"/>
      <c r="G54" s="58" t="s">
        <v>17</v>
      </c>
      <c r="H54" s="58" t="s">
        <v>70</v>
      </c>
    </row>
    <row r="55" spans="1:8" x14ac:dyDescent="0.3">
      <c r="A55" s="57" t="s">
        <v>66</v>
      </c>
      <c r="B55" s="61"/>
      <c r="C55" s="57" t="s">
        <v>145</v>
      </c>
      <c r="D55" s="60"/>
      <c r="E55" s="60"/>
      <c r="F55" s="60"/>
      <c r="G55" s="58" t="s">
        <v>17</v>
      </c>
      <c r="H55" s="58" t="s">
        <v>82</v>
      </c>
    </row>
    <row r="56" spans="1:8" x14ac:dyDescent="0.3">
      <c r="A56" s="57" t="s">
        <v>61</v>
      </c>
      <c r="B56" s="61"/>
      <c r="C56" s="57"/>
      <c r="D56" s="60"/>
      <c r="E56" s="60"/>
      <c r="F56" s="60"/>
      <c r="G56" s="58" t="s">
        <v>17</v>
      </c>
      <c r="H56" s="58" t="s">
        <v>71</v>
      </c>
    </row>
    <row r="57" spans="1:8" x14ac:dyDescent="0.3">
      <c r="A57" s="57" t="s">
        <v>62</v>
      </c>
      <c r="B57" s="61"/>
      <c r="C57" s="57" t="s">
        <v>145</v>
      </c>
      <c r="D57" s="60"/>
      <c r="E57" s="60"/>
      <c r="F57" s="60"/>
      <c r="G57" s="58" t="s">
        <v>17</v>
      </c>
      <c r="H57" s="58" t="s">
        <v>83</v>
      </c>
    </row>
    <row r="58" spans="1:8" x14ac:dyDescent="0.3">
      <c r="A58" s="57" t="s">
        <v>67</v>
      </c>
      <c r="B58" s="61"/>
      <c r="C58" s="57" t="s">
        <v>145</v>
      </c>
      <c r="D58" s="60"/>
      <c r="E58" s="60"/>
      <c r="F58" s="60"/>
      <c r="G58" s="58" t="s">
        <v>17</v>
      </c>
      <c r="H58" s="58" t="s">
        <v>83</v>
      </c>
    </row>
  </sheetData>
  <sheetProtection password="C595" sheet="1" objects="1" scenarios="1"/>
  <mergeCells count="1">
    <mergeCell ref="B6:G6"/>
  </mergeCells>
  <conditionalFormatting sqref="C2">
    <cfRule type="cellIs" dxfId="11" priority="7" stopIfTrue="1" operator="equal">
      <formula>TRUE</formula>
    </cfRule>
    <cfRule type="cellIs" dxfId="10" priority="8" stopIfTrue="1" operator="equal">
      <formula>FALSE</formula>
    </cfRule>
  </conditionalFormatting>
  <conditionalFormatting sqref="C2">
    <cfRule type="cellIs" dxfId="9" priority="5" stopIfTrue="1" operator="equal">
      <formula>TRUE</formula>
    </cfRule>
    <cfRule type="cellIs" dxfId="8" priority="6" stopIfTrue="1" operator="equal">
      <formula>FALSE</formula>
    </cfRule>
  </conditionalFormatting>
  <conditionalFormatting sqref="C3">
    <cfRule type="cellIs" dxfId="7" priority="4" stopIfTrue="1" operator="equal">
      <formula>FALSE</formula>
    </cfRule>
  </conditionalFormatting>
  <conditionalFormatting sqref="C3">
    <cfRule type="cellIs" dxfId="6" priority="3" stopIfTrue="1" operator="equal">
      <formula>TRUE</formula>
    </cfRule>
  </conditionalFormatting>
  <conditionalFormatting sqref="C2:C3">
    <cfRule type="cellIs" dxfId="5" priority="1" stopIfTrue="1" operator="equal">
      <formula>FALSE</formula>
    </cfRule>
    <cfRule type="cellIs" dxfId="4" priority="2" stopIfTrue="1" operator="equal">
      <formula>TRUE</formula>
    </cfRule>
  </conditionalFormatting>
  <dataValidations count="4">
    <dataValidation type="decimal" allowBlank="1" showInputMessage="1" showErrorMessage="1" sqref="D43:F47 D33:F37 D23:F27 D13:F17 D54:F58">
      <formula1>-1000000000000000</formula1>
      <formula2>1000000000000000</formula2>
    </dataValidation>
    <dataValidation type="list" allowBlank="1" showInputMessage="1" showErrorMessage="1" errorTitle="Must choose a valid port" promptTitle="Choosea port from the valid list" sqref="B3">
      <formula1>Ports</formula1>
    </dataValidation>
    <dataValidation type="list" allowBlank="1" showInputMessage="1" showErrorMessage="1" sqref="B5">
      <formula1>QualityList</formula1>
    </dataValidation>
    <dataValidation type="decimal" allowBlank="1" showInputMessage="1" showErrorMessage="1" sqref="D41:F42 D11:F12 D21:F22 D31:F32 D52:F53">
      <formula1>0</formula1>
      <formula2>100</formula2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9"/>
  <sheetViews>
    <sheetView workbookViewId="0">
      <selection activeCell="D42" sqref="D42"/>
    </sheetView>
  </sheetViews>
  <sheetFormatPr defaultColWidth="8.84375" defaultRowHeight="13.5" x14ac:dyDescent="0.3"/>
  <cols>
    <col min="1" max="1" width="12.84375" customWidth="1"/>
    <col min="2" max="2" width="15.4609375" customWidth="1"/>
  </cols>
  <sheetData>
    <row r="1" spans="1:4" x14ac:dyDescent="0.3">
      <c r="A1" s="1" t="s">
        <v>30</v>
      </c>
      <c r="B1" t="s">
        <v>39</v>
      </c>
      <c r="D1" t="s">
        <v>60</v>
      </c>
    </row>
    <row r="2" spans="1:4" x14ac:dyDescent="0.3">
      <c r="A2" s="17" t="s">
        <v>45</v>
      </c>
      <c r="B2" s="17" t="s">
        <v>72</v>
      </c>
      <c r="D2" s="62" t="b">
        <v>1</v>
      </c>
    </row>
    <row r="3" spans="1:4" x14ac:dyDescent="0.3">
      <c r="A3" s="17" t="s">
        <v>49</v>
      </c>
      <c r="B3" s="17"/>
      <c r="D3" s="62" t="b">
        <v>0</v>
      </c>
    </row>
    <row r="4" spans="1:4" x14ac:dyDescent="0.3">
      <c r="A4" s="17" t="s">
        <v>178</v>
      </c>
      <c r="B4" s="17"/>
    </row>
    <row r="5" spans="1:4" x14ac:dyDescent="0.3">
      <c r="A5" s="17" t="s">
        <v>50</v>
      </c>
      <c r="B5" s="17"/>
    </row>
    <row r="6" spans="1:4" x14ac:dyDescent="0.3">
      <c r="A6" s="17"/>
      <c r="B6" s="17"/>
    </row>
    <row r="7" spans="1:4" x14ac:dyDescent="0.3">
      <c r="A7" s="17"/>
      <c r="B7" s="17"/>
    </row>
    <row r="8" spans="1:4" x14ac:dyDescent="0.3">
      <c r="A8" s="17"/>
      <c r="B8" s="17"/>
    </row>
    <row r="9" spans="1:4" x14ac:dyDescent="0.3">
      <c r="A9" s="17"/>
      <c r="B9" s="17"/>
    </row>
  </sheetData>
  <sheetProtection password="C595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workbookViewId="0">
      <selection activeCell="B3" sqref="B3"/>
    </sheetView>
  </sheetViews>
  <sheetFormatPr defaultColWidth="8.84375" defaultRowHeight="13.5" x14ac:dyDescent="0.3"/>
  <cols>
    <col min="1" max="1" width="30.15234375" customWidth="1"/>
    <col min="2" max="2" width="25.15234375" style="3" customWidth="1"/>
    <col min="3" max="3" width="41.61328125" bestFit="1" customWidth="1"/>
    <col min="4" max="4" width="14.15234375" customWidth="1"/>
    <col min="5" max="5" width="14.61328125" customWidth="1"/>
    <col min="6" max="6" width="16.4609375" bestFit="1" customWidth="1"/>
    <col min="7" max="7" width="9.61328125" customWidth="1"/>
    <col min="8" max="9" width="8.84375" customWidth="1"/>
    <col min="10" max="10" width="15.61328125" customWidth="1"/>
    <col min="11" max="11" width="12.84375" customWidth="1"/>
  </cols>
  <sheetData>
    <row r="1" spans="1:12" ht="14" x14ac:dyDescent="0.35">
      <c r="A1" s="2" t="s">
        <v>1</v>
      </c>
      <c r="B1" s="14" t="s">
        <v>177</v>
      </c>
      <c r="C1" s="4"/>
      <c r="D1" s="41" t="s">
        <v>51</v>
      </c>
    </row>
    <row r="2" spans="1:12" x14ac:dyDescent="0.3">
      <c r="A2" s="2" t="s">
        <v>2</v>
      </c>
      <c r="B2" s="6">
        <v>6</v>
      </c>
      <c r="C2" s="7"/>
      <c r="D2" s="28" t="s">
        <v>59</v>
      </c>
    </row>
    <row r="3" spans="1:12" x14ac:dyDescent="0.3">
      <c r="A3" s="2" t="s">
        <v>146</v>
      </c>
      <c r="B3" s="6" t="s">
        <v>72</v>
      </c>
      <c r="C3" s="7"/>
      <c r="D3" s="73"/>
    </row>
    <row r="4" spans="1:12" x14ac:dyDescent="0.3">
      <c r="A4" s="2"/>
      <c r="B4" s="6"/>
      <c r="C4" s="7"/>
      <c r="D4" s="5"/>
    </row>
    <row r="5" spans="1:12" x14ac:dyDescent="0.3">
      <c r="A5" s="2" t="s">
        <v>8</v>
      </c>
      <c r="B5" s="6"/>
      <c r="C5" s="7"/>
      <c r="D5" s="5"/>
      <c r="E5" s="34" t="s">
        <v>38</v>
      </c>
      <c r="F5" s="20"/>
      <c r="G5" s="20"/>
      <c r="H5" s="20"/>
      <c r="I5" s="20"/>
      <c r="J5" s="20"/>
      <c r="K5" s="20"/>
      <c r="L5" s="21"/>
    </row>
    <row r="6" spans="1:12" x14ac:dyDescent="0.3">
      <c r="A6" s="2" t="s">
        <v>6</v>
      </c>
      <c r="B6" s="16" t="s">
        <v>7</v>
      </c>
      <c r="C6" s="7"/>
      <c r="D6" s="5"/>
      <c r="E6" s="35" t="s">
        <v>33</v>
      </c>
      <c r="F6" s="22"/>
      <c r="G6" s="23"/>
      <c r="H6" s="23"/>
      <c r="I6" s="23"/>
      <c r="J6" s="18"/>
      <c r="K6" s="18"/>
      <c r="L6" s="24"/>
    </row>
    <row r="7" spans="1:12" x14ac:dyDescent="0.3">
      <c r="A7" s="8" t="s">
        <v>3</v>
      </c>
      <c r="B7" s="9" t="str">
        <f ca="1">TRIM(UPPER(INDIRECT("SHOT_ID")))</f>
        <v/>
      </c>
      <c r="C7" s="7"/>
      <c r="D7" s="7"/>
      <c r="E7" s="27" t="s">
        <v>34</v>
      </c>
      <c r="F7" s="26"/>
      <c r="G7" s="26"/>
      <c r="H7" s="26"/>
      <c r="I7" s="26"/>
      <c r="J7" s="18"/>
      <c r="K7" s="18"/>
      <c r="L7" s="24"/>
    </row>
    <row r="8" spans="1:12" x14ac:dyDescent="0.3">
      <c r="A8" s="8" t="s">
        <v>4</v>
      </c>
      <c r="B8" s="10" t="str">
        <f ca="1">CONCATENATE(SUBSYSTEM_KEY,"|TC",INDIRECT("Port"),"|",INDIRECT("Instrument"),"|ANALYSIS|SHOT|SUMMARY")</f>
        <v>DESK-TD|TC|WRF|ANALYSIS|SHOT|SUMMARY</v>
      </c>
      <c r="C8" s="7"/>
      <c r="D8" s="7"/>
      <c r="E8" s="27" t="s">
        <v>35</v>
      </c>
      <c r="F8" s="26"/>
      <c r="G8" s="26"/>
      <c r="H8" s="26"/>
      <c r="I8" s="26"/>
      <c r="J8" s="18"/>
      <c r="K8" s="18"/>
      <c r="L8" s="24"/>
    </row>
    <row r="9" spans="1:12" x14ac:dyDescent="0.3">
      <c r="A9" s="8" t="s">
        <v>56</v>
      </c>
      <c r="B9" s="7" t="b">
        <f>IF(ISBLANK(Summary!B5),TRUE,Summary!B5)</f>
        <v>1</v>
      </c>
      <c r="C9" s="7"/>
      <c r="D9" s="7"/>
      <c r="E9" s="27"/>
      <c r="F9" s="26"/>
      <c r="G9" s="26"/>
      <c r="H9" s="26"/>
      <c r="I9" s="26"/>
      <c r="J9" s="18"/>
      <c r="K9" s="18"/>
      <c r="L9" s="24"/>
    </row>
    <row r="10" spans="1:12" x14ac:dyDescent="0.3">
      <c r="A10" s="8" t="s">
        <v>57</v>
      </c>
      <c r="B10" s="7" t="str">
        <f>IF(ISBLANK(Summary!B6),"",Summary!B6)</f>
        <v/>
      </c>
      <c r="C10" s="7"/>
      <c r="D10" s="7"/>
      <c r="E10" s="27"/>
      <c r="F10" s="26"/>
      <c r="G10" s="26"/>
      <c r="H10" s="26"/>
      <c r="I10" s="26"/>
      <c r="J10" s="18"/>
      <c r="K10" s="18"/>
      <c r="L10" s="24"/>
    </row>
    <row r="11" spans="1:12" x14ac:dyDescent="0.3">
      <c r="A11" s="8"/>
      <c r="B11" s="9"/>
      <c r="C11" s="7"/>
      <c r="D11" s="7"/>
      <c r="E11" s="25"/>
      <c r="F11" s="18"/>
      <c r="G11" s="18"/>
      <c r="H11" s="18"/>
      <c r="I11" s="18"/>
      <c r="J11" s="18"/>
      <c r="K11" s="18"/>
      <c r="L11" s="24"/>
    </row>
    <row r="12" spans="1:12" x14ac:dyDescent="0.3">
      <c r="A12" s="2" t="s">
        <v>5</v>
      </c>
      <c r="B12" s="9"/>
      <c r="C12" s="7"/>
      <c r="D12" s="7"/>
      <c r="E12" s="37" t="s">
        <v>36</v>
      </c>
      <c r="F12" s="38"/>
      <c r="G12" s="38"/>
      <c r="H12" s="38"/>
      <c r="I12" s="38"/>
      <c r="J12" s="39" t="s">
        <v>31</v>
      </c>
      <c r="K12" s="39" t="s">
        <v>37</v>
      </c>
      <c r="L12" s="24"/>
    </row>
    <row r="13" spans="1:12" x14ac:dyDescent="0.3">
      <c r="A13" s="2" t="s">
        <v>6</v>
      </c>
      <c r="B13" s="11" t="s">
        <v>7</v>
      </c>
      <c r="C13" s="12" t="s">
        <v>9</v>
      </c>
      <c r="D13" s="12" t="s">
        <v>21</v>
      </c>
      <c r="E13" s="40" t="s">
        <v>29</v>
      </c>
      <c r="F13" s="41" t="s">
        <v>27</v>
      </c>
      <c r="G13" s="41" t="s">
        <v>25</v>
      </c>
      <c r="H13" s="41" t="s">
        <v>28</v>
      </c>
      <c r="I13" s="41" t="s">
        <v>26</v>
      </c>
      <c r="J13" s="41" t="s">
        <v>29</v>
      </c>
      <c r="K13" s="41"/>
      <c r="L13" s="24"/>
    </row>
    <row r="14" spans="1:12" x14ac:dyDescent="0.3">
      <c r="A14" s="8" t="s">
        <v>147</v>
      </c>
      <c r="B14" s="74" t="s">
        <v>148</v>
      </c>
      <c r="C14" s="15"/>
      <c r="D14" s="15" t="s">
        <v>149</v>
      </c>
      <c r="E14" s="40"/>
      <c r="F14" s="41"/>
      <c r="G14" s="41"/>
      <c r="H14" s="41"/>
      <c r="I14" s="41"/>
      <c r="J14" s="41"/>
      <c r="K14" s="41"/>
      <c r="L14" s="24"/>
    </row>
    <row r="15" spans="1:12" x14ac:dyDescent="0.3">
      <c r="A15" s="13"/>
      <c r="D15" s="19"/>
      <c r="E15" s="36"/>
      <c r="F15" s="28"/>
      <c r="G15" s="29"/>
      <c r="H15" s="28"/>
      <c r="I15" s="18"/>
      <c r="J15" s="18"/>
      <c r="K15" s="30"/>
      <c r="L15" s="24"/>
    </row>
    <row r="16" spans="1:12" x14ac:dyDescent="0.3">
      <c r="A16" s="13"/>
      <c r="B16" s="14"/>
      <c r="D16" s="19"/>
      <c r="E16" s="36"/>
      <c r="F16" s="28"/>
      <c r="G16" s="29"/>
      <c r="H16" s="28"/>
      <c r="I16" s="18"/>
      <c r="J16" s="18"/>
      <c r="K16" s="30"/>
      <c r="L16" s="24"/>
    </row>
    <row r="17" spans="1:12" x14ac:dyDescent="0.3">
      <c r="A17" s="13"/>
      <c r="D17" s="19"/>
      <c r="E17" s="36"/>
      <c r="F17" s="28"/>
      <c r="G17" s="29"/>
      <c r="H17" s="28"/>
      <c r="I17" s="18"/>
      <c r="J17" s="18"/>
      <c r="K17" s="30"/>
      <c r="L17" s="24"/>
    </row>
    <row r="18" spans="1:12" x14ac:dyDescent="0.3">
      <c r="A18" s="13"/>
      <c r="D18" s="19"/>
      <c r="E18" s="36"/>
      <c r="F18" s="28"/>
      <c r="G18" s="29"/>
      <c r="H18" s="28"/>
      <c r="I18" s="18"/>
      <c r="J18" s="18"/>
      <c r="K18" s="30"/>
      <c r="L18" s="24"/>
    </row>
    <row r="19" spans="1:12" x14ac:dyDescent="0.3">
      <c r="A19" s="13"/>
      <c r="D19" s="19"/>
      <c r="E19" s="36"/>
      <c r="F19" s="28"/>
      <c r="G19" s="29"/>
      <c r="H19" s="28"/>
      <c r="I19" s="18"/>
      <c r="J19" s="18"/>
      <c r="K19" s="30"/>
      <c r="L19" s="24"/>
    </row>
    <row r="20" spans="1:12" x14ac:dyDescent="0.3">
      <c r="A20" s="13"/>
      <c r="D20" s="19"/>
      <c r="E20" s="36"/>
      <c r="F20" s="28"/>
      <c r="G20" s="29"/>
      <c r="H20" s="28"/>
      <c r="I20" s="18"/>
      <c r="J20" s="18"/>
      <c r="K20" s="30"/>
      <c r="L20" s="24"/>
    </row>
    <row r="21" spans="1:12" x14ac:dyDescent="0.3">
      <c r="A21" s="13"/>
      <c r="D21" s="19"/>
      <c r="E21" s="36"/>
      <c r="F21" s="28"/>
      <c r="G21" s="29"/>
      <c r="H21" s="28"/>
      <c r="I21" s="18"/>
      <c r="J21" s="18"/>
      <c r="K21" s="30"/>
      <c r="L21" s="24"/>
    </row>
    <row r="22" spans="1:12" x14ac:dyDescent="0.3">
      <c r="A22" s="13"/>
      <c r="D22" s="19"/>
      <c r="E22" s="36"/>
      <c r="F22" s="28"/>
      <c r="G22" s="29"/>
      <c r="H22" s="28"/>
      <c r="I22" s="18"/>
      <c r="J22" s="18"/>
      <c r="K22" s="30"/>
      <c r="L22" s="24"/>
    </row>
    <row r="23" spans="1:12" x14ac:dyDescent="0.3">
      <c r="A23" s="13"/>
      <c r="D23" s="19"/>
      <c r="E23" s="36"/>
      <c r="F23" s="28"/>
      <c r="G23" s="29"/>
      <c r="H23" s="28"/>
      <c r="I23" s="18"/>
      <c r="J23" s="18"/>
      <c r="K23" s="30"/>
      <c r="L23" s="24"/>
    </row>
    <row r="24" spans="1:12" x14ac:dyDescent="0.3">
      <c r="A24" s="13"/>
      <c r="D24" s="19"/>
      <c r="E24" s="36"/>
      <c r="F24" s="28"/>
      <c r="G24" s="29"/>
      <c r="H24" s="28"/>
      <c r="I24" s="18"/>
      <c r="J24" s="18"/>
      <c r="K24" s="30"/>
      <c r="L24" s="24"/>
    </row>
    <row r="25" spans="1:12" x14ac:dyDescent="0.3">
      <c r="A25" s="13"/>
      <c r="D25" s="19"/>
      <c r="E25" s="36"/>
      <c r="F25" s="28"/>
      <c r="G25" s="29"/>
      <c r="H25" s="28"/>
      <c r="I25" s="18"/>
      <c r="J25" s="18"/>
      <c r="K25" s="30"/>
      <c r="L25" s="24"/>
    </row>
    <row r="26" spans="1:12" x14ac:dyDescent="0.3">
      <c r="A26" s="13"/>
      <c r="B26" s="14"/>
      <c r="D26" s="19"/>
      <c r="E26" s="25"/>
      <c r="F26" s="18"/>
      <c r="G26" s="18"/>
      <c r="H26" s="18"/>
      <c r="I26" s="18"/>
      <c r="J26" s="18"/>
      <c r="K26" s="18"/>
      <c r="L26" s="24"/>
    </row>
    <row r="27" spans="1:12" x14ac:dyDescent="0.3">
      <c r="A27" s="13"/>
      <c r="B27" s="14"/>
      <c r="D27" s="19"/>
      <c r="E27" s="25"/>
      <c r="F27" s="18"/>
      <c r="G27" s="18"/>
      <c r="H27" s="18"/>
      <c r="I27" s="18"/>
      <c r="J27" s="18"/>
      <c r="K27" s="18"/>
      <c r="L27" s="24"/>
    </row>
    <row r="28" spans="1:12" x14ac:dyDescent="0.3">
      <c r="A28" s="13"/>
      <c r="B28" s="14"/>
      <c r="D28" s="19"/>
      <c r="E28" s="25"/>
      <c r="F28" s="18"/>
      <c r="G28" s="18"/>
      <c r="H28" s="18"/>
      <c r="I28" s="18"/>
      <c r="J28" s="18"/>
      <c r="K28" s="18"/>
      <c r="L28" s="24"/>
    </row>
    <row r="29" spans="1:12" x14ac:dyDescent="0.3">
      <c r="A29" s="13"/>
      <c r="B29" s="14"/>
      <c r="D29" s="19"/>
      <c r="E29" s="25"/>
      <c r="F29" s="18"/>
      <c r="G29" s="18"/>
      <c r="H29" s="18"/>
      <c r="I29" s="18"/>
      <c r="J29" s="18"/>
      <c r="K29" s="18"/>
      <c r="L29" s="24"/>
    </row>
    <row r="30" spans="1:12" x14ac:dyDescent="0.3">
      <c r="A30" s="13"/>
      <c r="E30" s="25"/>
      <c r="F30" s="18"/>
      <c r="G30" s="18"/>
      <c r="H30" s="18"/>
      <c r="I30" s="18"/>
      <c r="J30" s="18"/>
      <c r="K30" s="18"/>
      <c r="L30" s="24"/>
    </row>
    <row r="31" spans="1:12" x14ac:dyDescent="0.3">
      <c r="A31" s="13"/>
      <c r="E31" s="25"/>
      <c r="F31" s="18"/>
      <c r="G31" s="18"/>
      <c r="H31" s="18"/>
      <c r="I31" s="18"/>
      <c r="J31" s="18"/>
      <c r="K31" s="18"/>
      <c r="L31" s="24"/>
    </row>
    <row r="32" spans="1:12" x14ac:dyDescent="0.3">
      <c r="A32" s="13"/>
      <c r="E32" s="31"/>
      <c r="F32" s="32"/>
      <c r="G32" s="32"/>
      <c r="H32" s="32"/>
      <c r="I32" s="32"/>
      <c r="J32" s="32"/>
      <c r="K32" s="32"/>
      <c r="L32" s="33"/>
    </row>
  </sheetData>
  <sheetProtection password="C595" sheet="1" objects="1" scenarios="1"/>
  <conditionalFormatting sqref="K15:K25">
    <cfRule type="cellIs" dxfId="3" priority="11" stopIfTrue="1" operator="equal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7"/>
  <sheetViews>
    <sheetView workbookViewId="0">
      <selection activeCell="B26" sqref="B26"/>
    </sheetView>
  </sheetViews>
  <sheetFormatPr defaultColWidth="11" defaultRowHeight="14.5" x14ac:dyDescent="0.35"/>
  <cols>
    <col min="1" max="1" width="11.61328125" style="79" customWidth="1"/>
    <col min="2" max="2" width="62.61328125" style="118" customWidth="1"/>
    <col min="3" max="3" width="46.4609375" style="118" customWidth="1"/>
    <col min="4" max="4" width="36.15234375" style="79" customWidth="1"/>
    <col min="5" max="5" width="83.15234375" style="79" bestFit="1" customWidth="1"/>
    <col min="6" max="6" width="17.61328125" style="79" customWidth="1"/>
    <col min="7" max="7" width="14.15234375" style="79" customWidth="1"/>
    <col min="8" max="8" width="15.3828125" style="79" customWidth="1"/>
    <col min="9" max="9" width="16.3828125" style="79" customWidth="1"/>
    <col min="10" max="10" width="12.15234375" style="79" customWidth="1"/>
    <col min="11" max="12" width="17.15234375" style="79" customWidth="1"/>
    <col min="13" max="13" width="18.61328125" style="79" customWidth="1"/>
    <col min="14" max="14" width="17.61328125" style="79" customWidth="1"/>
    <col min="15" max="15" width="19.61328125" style="79" customWidth="1"/>
    <col min="16" max="16" width="19.15234375" style="79" customWidth="1"/>
    <col min="17" max="17" width="14" style="79" customWidth="1"/>
    <col min="18" max="18" width="14.61328125" style="79" customWidth="1"/>
    <col min="19" max="19" width="31.84375" style="79" bestFit="1" customWidth="1"/>
    <col min="20" max="20" width="4.84375" style="79" customWidth="1"/>
    <col min="21" max="21" width="8.61328125" style="79" customWidth="1"/>
    <col min="22" max="22" width="4.61328125" style="79" customWidth="1"/>
    <col min="23" max="23" width="13.15234375" style="79" customWidth="1"/>
    <col min="24" max="24" width="7" style="79" customWidth="1"/>
    <col min="25" max="25" width="10.15234375" style="79" bestFit="1" customWidth="1"/>
    <col min="26" max="26" width="11" style="79" customWidth="1"/>
    <col min="27" max="27" width="28.3828125" style="79" customWidth="1"/>
    <col min="28" max="16384" width="11" style="79"/>
  </cols>
  <sheetData>
    <row r="1" spans="1:27" x14ac:dyDescent="0.35">
      <c r="A1" s="2" t="s">
        <v>1</v>
      </c>
      <c r="B1" s="75" t="s">
        <v>150</v>
      </c>
      <c r="C1" s="75"/>
      <c r="D1" s="76"/>
      <c r="E1" s="76"/>
      <c r="F1" s="76"/>
      <c r="G1" s="77" t="s">
        <v>51</v>
      </c>
      <c r="H1" s="78"/>
      <c r="I1" s="78"/>
      <c r="J1" s="78"/>
      <c r="K1" s="78"/>
      <c r="L1" s="78"/>
      <c r="M1" s="78"/>
      <c r="N1" s="78"/>
      <c r="O1" s="78"/>
      <c r="P1" s="78"/>
      <c r="Q1" s="78"/>
    </row>
    <row r="2" spans="1:27" x14ac:dyDescent="0.35">
      <c r="A2" s="2"/>
      <c r="B2" s="80"/>
      <c r="C2" s="80"/>
      <c r="D2" s="81"/>
      <c r="E2" s="81"/>
      <c r="F2" s="81"/>
      <c r="G2" s="82" t="s">
        <v>59</v>
      </c>
      <c r="H2" s="83"/>
      <c r="I2" s="83"/>
      <c r="J2" s="83"/>
      <c r="K2" s="83"/>
      <c r="L2" s="83"/>
      <c r="M2" s="83"/>
      <c r="N2" s="83"/>
      <c r="O2" s="83"/>
      <c r="P2" s="83"/>
      <c r="Q2" s="83"/>
    </row>
    <row r="3" spans="1:27" x14ac:dyDescent="0.35">
      <c r="A3" s="2"/>
      <c r="B3" s="80"/>
      <c r="C3" s="80"/>
      <c r="D3" s="81"/>
      <c r="E3" s="81"/>
      <c r="F3" s="81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27" x14ac:dyDescent="0.35">
      <c r="A4" s="2" t="s">
        <v>8</v>
      </c>
      <c r="B4" s="80"/>
      <c r="C4" s="80"/>
      <c r="D4" s="81"/>
      <c r="E4" s="81"/>
      <c r="F4" s="81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5" t="s">
        <v>38</v>
      </c>
      <c r="S4" s="86"/>
      <c r="T4" s="86"/>
      <c r="U4" s="86"/>
      <c r="V4" s="86"/>
      <c r="W4" s="86"/>
      <c r="X4" s="86"/>
      <c r="Y4" s="87"/>
    </row>
    <row r="5" spans="1:27" x14ac:dyDescent="0.35">
      <c r="A5" s="2" t="s">
        <v>6</v>
      </c>
      <c r="B5" s="88" t="s">
        <v>7</v>
      </c>
      <c r="C5" s="88"/>
      <c r="D5" s="81"/>
      <c r="E5" s="81"/>
      <c r="F5" s="81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9" t="s">
        <v>33</v>
      </c>
      <c r="S5" s="90"/>
      <c r="T5" s="91"/>
      <c r="U5" s="91"/>
      <c r="V5" s="91"/>
      <c r="W5" s="92"/>
      <c r="X5" s="92"/>
      <c r="Y5" s="93"/>
    </row>
    <row r="6" spans="1:27" x14ac:dyDescent="0.35">
      <c r="A6" s="8" t="s">
        <v>3</v>
      </c>
      <c r="B6" s="94" t="str">
        <f ca="1">TRIM(UPPER(INDIRECT("SHOT_ID")))</f>
        <v/>
      </c>
      <c r="C6" s="94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95" t="s">
        <v>34</v>
      </c>
      <c r="S6" s="96"/>
      <c r="T6" s="96"/>
      <c r="U6" s="96"/>
      <c r="V6" s="96"/>
      <c r="W6" s="92"/>
      <c r="X6" s="92"/>
      <c r="Y6" s="93"/>
    </row>
    <row r="7" spans="1:27" x14ac:dyDescent="0.35">
      <c r="A7" s="8"/>
      <c r="B7" s="97"/>
      <c r="C7" s="97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95" t="s">
        <v>35</v>
      </c>
      <c r="S7" s="96"/>
      <c r="T7" s="96"/>
      <c r="U7" s="96"/>
      <c r="V7" s="96"/>
      <c r="W7" s="92"/>
      <c r="X7" s="92"/>
      <c r="Y7" s="93"/>
      <c r="AA7" s="81"/>
    </row>
    <row r="8" spans="1:27" x14ac:dyDescent="0.35">
      <c r="A8" s="2" t="s">
        <v>151</v>
      </c>
      <c r="B8" s="98">
        <v>16</v>
      </c>
      <c r="C8" s="97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95"/>
      <c r="S8" s="96"/>
      <c r="T8" s="96"/>
      <c r="U8" s="96"/>
      <c r="V8" s="96"/>
      <c r="W8" s="92"/>
      <c r="X8" s="92"/>
      <c r="Y8" s="93"/>
    </row>
    <row r="9" spans="1:27" x14ac:dyDescent="0.35">
      <c r="A9" s="2" t="s">
        <v>5</v>
      </c>
      <c r="B9" s="97"/>
      <c r="C9" s="97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95"/>
      <c r="S9" s="96"/>
      <c r="T9" s="96"/>
      <c r="U9" s="96"/>
      <c r="V9" s="96"/>
      <c r="W9" s="92"/>
      <c r="X9" s="92"/>
      <c r="Y9" s="93"/>
    </row>
    <row r="10" spans="1:27" ht="29" x14ac:dyDescent="0.35">
      <c r="A10" s="99" t="s">
        <v>152</v>
      </c>
      <c r="B10" s="100" t="s">
        <v>4</v>
      </c>
      <c r="C10" s="100" t="s">
        <v>153</v>
      </c>
      <c r="D10" s="101" t="s">
        <v>154</v>
      </c>
      <c r="E10" s="101" t="s">
        <v>155</v>
      </c>
      <c r="F10" s="101" t="s">
        <v>156</v>
      </c>
      <c r="G10" s="101" t="s">
        <v>157</v>
      </c>
      <c r="H10" s="101" t="s">
        <v>158</v>
      </c>
      <c r="I10" s="101" t="s">
        <v>159</v>
      </c>
      <c r="J10" s="101" t="s">
        <v>160</v>
      </c>
      <c r="K10" s="101" t="s">
        <v>161</v>
      </c>
      <c r="L10" s="101" t="s">
        <v>162</v>
      </c>
      <c r="M10" s="101" t="s">
        <v>163</v>
      </c>
      <c r="N10" s="101" t="s">
        <v>164</v>
      </c>
      <c r="O10" s="101" t="s">
        <v>165</v>
      </c>
      <c r="P10" s="101" t="s">
        <v>166</v>
      </c>
      <c r="Q10" s="101" t="s">
        <v>13</v>
      </c>
      <c r="R10" s="102" t="s">
        <v>167</v>
      </c>
      <c r="S10" s="103" t="s">
        <v>27</v>
      </c>
      <c r="T10" s="103" t="s">
        <v>25</v>
      </c>
      <c r="U10" s="103" t="s">
        <v>28</v>
      </c>
      <c r="V10" s="103" t="s">
        <v>26</v>
      </c>
      <c r="W10" s="102" t="s">
        <v>168</v>
      </c>
      <c r="X10" s="103" t="s">
        <v>37</v>
      </c>
      <c r="Y10" s="103"/>
      <c r="AA10" s="119"/>
    </row>
    <row r="11" spans="1:27" x14ac:dyDescent="0.35">
      <c r="A11" s="2"/>
      <c r="B11" s="97" t="s">
        <v>22</v>
      </c>
      <c r="C11" s="97" t="s">
        <v>22</v>
      </c>
      <c r="D11" s="104" t="s">
        <v>22</v>
      </c>
      <c r="E11" s="104" t="s">
        <v>22</v>
      </c>
      <c r="F11" s="104" t="s">
        <v>22</v>
      </c>
      <c r="G11" s="104" t="s">
        <v>22</v>
      </c>
      <c r="H11" s="104" t="s">
        <v>23</v>
      </c>
      <c r="I11" s="104" t="s">
        <v>169</v>
      </c>
      <c r="J11" s="104" t="s">
        <v>170</v>
      </c>
      <c r="K11" s="104" t="s">
        <v>23</v>
      </c>
      <c r="L11" s="104" t="s">
        <v>23</v>
      </c>
      <c r="M11" s="104" t="s">
        <v>23</v>
      </c>
      <c r="N11" s="104" t="s">
        <v>23</v>
      </c>
      <c r="O11" s="104" t="s">
        <v>23</v>
      </c>
      <c r="P11" s="104" t="s">
        <v>23</v>
      </c>
      <c r="Q11" s="104" t="s">
        <v>22</v>
      </c>
      <c r="R11" s="105"/>
      <c r="S11" s="106"/>
      <c r="T11" s="106"/>
      <c r="U11" s="106"/>
      <c r="V11" s="106"/>
      <c r="W11" s="106"/>
      <c r="X11" s="106"/>
      <c r="Y11" s="107"/>
      <c r="AA11" s="81"/>
    </row>
    <row r="12" spans="1:27" x14ac:dyDescent="0.35">
      <c r="A12" s="2" t="b">
        <f ca="1">IF(ISBLANK(OFFSET(INDIRECT(R12), 0, 0, 1, 1)), FALSE, TRUE)</f>
        <v>0</v>
      </c>
      <c r="B12" s="97" t="str">
        <f t="shared" ref="B12:B18" ca="1" si="0">CONCATENATE(SUBSYSTEM_KEY,"|TC",INDIRECT("Port"),"|",INDIRECT("Instrument"),"|ANALYSIS|UPPER_LEFT|", C12)</f>
        <v>DESK-TD|TC|WRF|ANALYSIS|UPPER_LEFT|SHOCK_D3HE_P_YIELD</v>
      </c>
      <c r="C12" s="97" t="s">
        <v>73</v>
      </c>
      <c r="D12" s="104" t="str">
        <f ca="1">IF(ISBLANK(OFFSET(INDIRECT(R12), 0, -1, 1, 1)), "", OFFSET(INDIRECT(R12), 0, -1, 1, 1))</f>
        <v>Shock D3He-p yield</v>
      </c>
      <c r="E12" s="104" t="str">
        <f t="shared" ref="E12:E46" ca="1" si="1">IF(ISBLANK(OFFSET(INDIRECT(R12), 0, 6, 1)), "", OFFSET(INDIRECT(R12), 0, 6, 1, 1))</f>
        <v>Proton yield (escaping implosion)</v>
      </c>
      <c r="F12" s="108" t="s">
        <v>23</v>
      </c>
      <c r="G12" s="104" t="str">
        <f ca="1">IF(F12 = "string", IF(ISBLANK(OFFSET(INDIRECT(R12), 0, 0, 1, 1)), "", OFFSET(INDIRECT(R12), 0, 0, 1, 1)), "")</f>
        <v/>
      </c>
      <c r="H12" s="104" t="str">
        <f ca="1">IF(F12="double", IF(ISBLANK(OFFSET(INDIRECT(R12), 0, 0, 1, 1)), "", OFFSET(INDIRECT(R12), 0, 0, 1, 1)), "")</f>
        <v/>
      </c>
      <c r="I12" s="104" t="str">
        <f ca="1">IF(F12="boolean", IF(ISBLANK(OFFSET(INDIRECT(R12), 0, 0, 1, 1)), "", OFFSET(INDIRECT(R12), 0, 0, 1, 1)), "")</f>
        <v/>
      </c>
      <c r="J12" s="104" t="str">
        <f ca="1">IF(F12="integer", IF(ISBLANK(OFFSET(INDIRECT(R12), 0, 0, 1, 1)), "", OFFSET(INDIRECT(R12), 0, 0, 1, 1)), "")</f>
        <v/>
      </c>
      <c r="K12" s="81" t="str">
        <f ca="1">IF(OR(F12="integer", F12="double"), IF(ISBLANK(OFFSET(INDIRECT(R12), 0, 2, 1, 1)), "", OFFSET(INDIRECT(R12), 0, 2, 1, 1) * H12), "")</f>
        <v/>
      </c>
      <c r="L12" s="81" t="str">
        <f t="shared" ref="L12:L45" ca="1" si="2">K12</f>
        <v/>
      </c>
      <c r="M12" s="81" t="str">
        <f ca="1">IF(OR(F12="integer", F12="double"), IF(ISBLANK(OFFSET(INDIRECT(R12), 0, 3, 1, 1)), "", OFFSET(INDIRECT(R12), 0, 3, 1, 1) * H12), "")</f>
        <v/>
      </c>
      <c r="N12" s="81" t="str">
        <f t="shared" ref="N12:N45" ca="1" si="3">M12</f>
        <v/>
      </c>
      <c r="O12" s="81" t="str">
        <f ca="1">IF(OR(F12="integer", F12="double"), IF(ISBLANK(OFFSET(INDIRECT(R12), 0, 4, 1, 1)), "", OFFSET(INDIRECT(R12), 0, 4, 1, 1) * H12), "")</f>
        <v/>
      </c>
      <c r="P12" s="81" t="str">
        <f t="shared" ref="P12:P45" ca="1" si="4">O12</f>
        <v/>
      </c>
      <c r="Q12" s="81" t="str">
        <f ca="1">IF(OR(F12="int", F12="double"), IF(ISBLANK(OFFSET(INDIRECT(R12), 0, 1, 1, 1)), "", OFFSET(INDIRECT(R12), 0, 1, 1, 1)), "")</f>
        <v>protons</v>
      </c>
      <c r="R12" s="109" t="s">
        <v>32</v>
      </c>
      <c r="S12" s="59" t="s">
        <v>74</v>
      </c>
      <c r="T12" s="111">
        <f ca="1">ROW(INDIRECT(S12))</f>
        <v>11</v>
      </c>
      <c r="U12" s="110" t="s">
        <v>11</v>
      </c>
      <c r="V12" s="111">
        <f ca="1">COLUMN(INDIRECT(U12))</f>
        <v>2</v>
      </c>
      <c r="W12" s="112" t="str">
        <f ca="1">ADDRESS(T12,V12,1,1,"Summary")</f>
        <v>Summary!$B$11</v>
      </c>
      <c r="X12" s="111" t="b">
        <f ca="1">IF(W12=R12,TRUE,FALSE)</f>
        <v>1</v>
      </c>
      <c r="Y12" s="113"/>
      <c r="AA12" s="81"/>
    </row>
    <row r="13" spans="1:27" x14ac:dyDescent="0.35">
      <c r="A13" s="2" t="b">
        <f t="shared" ref="A13:A46" ca="1" si="5">IF(ISBLANK(OFFSET(INDIRECT(R13), 0, 0, 1, 1)), FALSE, TRUE)</f>
        <v>0</v>
      </c>
      <c r="B13" s="97" t="str">
        <f t="shared" ca="1" si="0"/>
        <v>DESK-TD|TC|WRF|ANALYSIS|UPPER_LEFT|COMPRESSION_D3HEP_YIELD</v>
      </c>
      <c r="C13" s="97" t="s">
        <v>173</v>
      </c>
      <c r="D13" s="104" t="str">
        <f t="shared" ref="D13:D45" ca="1" si="6">IF(ISBLANK(OFFSET(INDIRECT(R13), 0, -1, 1, 1)), "", OFFSET(INDIRECT(R13), 0, -1, 1, 1))</f>
        <v>Compr D3He-p yield</v>
      </c>
      <c r="E13" s="104" t="str">
        <f t="shared" ca="1" si="1"/>
        <v>Proton yield (escaping implosion)</v>
      </c>
      <c r="F13" s="108" t="s">
        <v>23</v>
      </c>
      <c r="G13" s="104" t="str">
        <f t="shared" ref="G13:G45" ca="1" si="7">IF(F13 = "string", IF(ISBLANK(OFFSET(INDIRECT(R13), 0, 0, 1, 1)), "", OFFSET(INDIRECT(R13), 0, 0, 1, 1)), "")</f>
        <v/>
      </c>
      <c r="H13" s="104" t="str">
        <f t="shared" ref="H13:H45" ca="1" si="8">IF(F13="double", IF(ISBLANK(OFFSET(INDIRECT(R13), 0, 0, 1, 1)), "", OFFSET(INDIRECT(R13), 0, 0, 1, 1)), "")</f>
        <v/>
      </c>
      <c r="I13" s="104" t="str">
        <f t="shared" ref="I13:I45" ca="1" si="9">IF(F13="boolean", IF(ISBLANK(OFFSET(INDIRECT(R13), 0, 0, 1, 1)), "", OFFSET(INDIRECT(R13), 0, 0, 1, 1)), "")</f>
        <v/>
      </c>
      <c r="J13" s="104" t="str">
        <f t="shared" ref="J13:J45" ca="1" si="10">IF(F13="integer", IF(ISBLANK(OFFSET(INDIRECT(R13), 0, 0, 1, 1)), "", OFFSET(INDIRECT(R13), 0, 0, 1, 1)), "")</f>
        <v/>
      </c>
      <c r="K13" s="81" t="str">
        <f ca="1">IF(OR(F13="integer", F13="double"), IF(ISBLANK(OFFSET(INDIRECT(R13), 0, 2, 1, 1)), "", OFFSET(INDIRECT(R13), 0, 2, 1, 1) * H13), "")</f>
        <v/>
      </c>
      <c r="L13" s="81" t="str">
        <f t="shared" ca="1" si="2"/>
        <v/>
      </c>
      <c r="M13" s="81" t="str">
        <f ca="1">IF(OR(F13="integer", F13="double"), IF(ISBLANK(OFFSET(INDIRECT(R13), 0, 3, 1, 1)), "", OFFSET(INDIRECT(R13), 0, 3, 1, 1) * H13), "")</f>
        <v/>
      </c>
      <c r="N13" s="81" t="str">
        <f t="shared" ca="1" si="3"/>
        <v/>
      </c>
      <c r="O13" s="81" t="str">
        <f ca="1">IF(OR(F13="integer", F13="double"), IF(ISBLANK(OFFSET(INDIRECT(R13), 0, 4, 1, 1)), "", OFFSET(INDIRECT(R13), 0, 4, 1, 1) * H13), "")</f>
        <v/>
      </c>
      <c r="P13" s="81" t="str">
        <f t="shared" ca="1" si="4"/>
        <v/>
      </c>
      <c r="Q13" s="81" t="str">
        <f t="shared" ref="Q13:Q45" ca="1" si="11">IF(OR(F13="int", F13="double"), IF(ISBLANK(OFFSET(INDIRECT(R13), 0, 1, 1, 1)), "", OFFSET(INDIRECT(R13), 0, 1, 1, 1)), "")</f>
        <v>protons</v>
      </c>
      <c r="R13" s="109" t="s">
        <v>40</v>
      </c>
      <c r="S13" s="59" t="s">
        <v>75</v>
      </c>
      <c r="T13" s="111">
        <f t="shared" ref="T13:T46" ca="1" si="12">ROW(INDIRECT(S13))</f>
        <v>12</v>
      </c>
      <c r="U13" s="110" t="s">
        <v>11</v>
      </c>
      <c r="V13" s="111">
        <f ca="1">COLUMN(INDIRECT(U13))</f>
        <v>2</v>
      </c>
      <c r="W13" s="112" t="str">
        <f t="shared" ref="W13:W41" ca="1" si="13">ADDRESS(T13,V13,1,1,"Summary")</f>
        <v>Summary!$B$12</v>
      </c>
      <c r="X13" s="111" t="b">
        <f t="shared" ref="X13:X41" ca="1" si="14">IF(W13=R13,TRUE,FALSE)</f>
        <v>1</v>
      </c>
      <c r="Y13" s="114"/>
      <c r="AA13" s="81"/>
    </row>
    <row r="14" spans="1:27" x14ac:dyDescent="0.35">
      <c r="A14" s="2" t="b">
        <f t="shared" ca="1" si="5"/>
        <v>0</v>
      </c>
      <c r="B14" s="97" t="str">
        <f t="shared" ca="1" si="0"/>
        <v>DESK-TD|TC|WRF|ANALYSIS|UPPER_LEFT|RHOR_AT_SHOCK</v>
      </c>
      <c r="C14" s="97" t="s">
        <v>171</v>
      </c>
      <c r="D14" s="104" t="str">
        <f t="shared" ca="1" si="6"/>
        <v>&lt;ρR&gt; at shock</v>
      </c>
      <c r="E14" s="104" t="str">
        <f t="shared" ca="1" si="1"/>
        <v>Shock-burn averaged total areal density</v>
      </c>
      <c r="F14" s="108" t="s">
        <v>23</v>
      </c>
      <c r="G14" s="104" t="str">
        <f t="shared" ca="1" si="7"/>
        <v/>
      </c>
      <c r="H14" s="104" t="str">
        <f t="shared" ca="1" si="8"/>
        <v/>
      </c>
      <c r="I14" s="104" t="str">
        <f t="shared" ca="1" si="9"/>
        <v/>
      </c>
      <c r="J14" s="104" t="str">
        <f t="shared" ca="1" si="10"/>
        <v/>
      </c>
      <c r="K14" s="81" t="str">
        <f t="shared" ref="K14:K46" ca="1" si="15">IF(OR(F14="integer", F14="double"), IF(ISBLANK(OFFSET(INDIRECT(R14), 0, 2, 1, 1)), "", OFFSET(INDIRECT(R14), 0, 2, 1, 1)), "")</f>
        <v/>
      </c>
      <c r="L14" s="81" t="str">
        <f t="shared" ca="1" si="2"/>
        <v/>
      </c>
      <c r="M14" s="81" t="str">
        <f t="shared" ref="M14:M46" ca="1" si="16">IF(OR(F14="integer", F14="double"), IF(ISBLANK(OFFSET(INDIRECT(R14), 0, 3, 1, 1)), "", OFFSET(INDIRECT(R14), 0, 3, 1, 1)), "")</f>
        <v/>
      </c>
      <c r="N14" s="81" t="str">
        <f t="shared" ca="1" si="3"/>
        <v/>
      </c>
      <c r="O14" s="81" t="str">
        <f t="shared" ref="O14:O46" ca="1" si="17">IF(OR(F14="integer", F14="double"), IF(ISBLANK(OFFSET(INDIRECT(R14), 0, 4, 1, 1)), "", OFFSET(INDIRECT(R14), 0, 4, 1, 1)), "")</f>
        <v/>
      </c>
      <c r="P14" s="81" t="str">
        <f t="shared" ca="1" si="4"/>
        <v/>
      </c>
      <c r="Q14" s="81" t="str">
        <f t="shared" ca="1" si="11"/>
        <v>mg/cm^2</v>
      </c>
      <c r="R14" s="109" t="s">
        <v>44</v>
      </c>
      <c r="S14" s="69" t="s">
        <v>76</v>
      </c>
      <c r="T14" s="111">
        <f t="shared" ca="1" si="12"/>
        <v>13</v>
      </c>
      <c r="U14" s="110" t="s">
        <v>11</v>
      </c>
      <c r="V14" s="111">
        <f t="shared" ref="V14:V41" ca="1" si="18">COLUMN(INDIRECT(U14))</f>
        <v>2</v>
      </c>
      <c r="W14" s="112" t="str">
        <f t="shared" ca="1" si="13"/>
        <v>Summary!$B$13</v>
      </c>
      <c r="X14" s="111" t="b">
        <f t="shared" ca="1" si="14"/>
        <v>1</v>
      </c>
      <c r="Y14" s="114"/>
      <c r="AA14" s="81"/>
    </row>
    <row r="15" spans="1:27" x14ac:dyDescent="0.35">
      <c r="A15" s="2" t="b">
        <f t="shared" ca="1" si="5"/>
        <v>0</v>
      </c>
      <c r="B15" s="97" t="str">
        <f t="shared" ca="1" si="0"/>
        <v>DESK-TD|TC|WRF|ANALYSIS|UPPER_LEFT|RHOR_AT_COMPRESSION</v>
      </c>
      <c r="C15" s="97" t="s">
        <v>172</v>
      </c>
      <c r="D15" s="104" t="str">
        <f t="shared" ca="1" si="6"/>
        <v>&lt;ρR&gt; at compression</v>
      </c>
      <c r="E15" s="104" t="str">
        <f t="shared" ca="1" si="1"/>
        <v>Compression-burn averaged total areal density</v>
      </c>
      <c r="F15" s="108" t="s">
        <v>23</v>
      </c>
      <c r="G15" s="104" t="str">
        <f t="shared" ca="1" si="7"/>
        <v/>
      </c>
      <c r="H15" s="104" t="str">
        <f t="shared" ca="1" si="8"/>
        <v/>
      </c>
      <c r="I15" s="104" t="str">
        <f t="shared" ca="1" si="9"/>
        <v/>
      </c>
      <c r="J15" s="104" t="str">
        <f t="shared" ca="1" si="10"/>
        <v/>
      </c>
      <c r="K15" s="81" t="str">
        <f t="shared" ca="1" si="15"/>
        <v/>
      </c>
      <c r="L15" s="81" t="str">
        <f t="shared" ca="1" si="2"/>
        <v/>
      </c>
      <c r="M15" s="81" t="str">
        <f t="shared" ca="1" si="16"/>
        <v/>
      </c>
      <c r="N15" s="81" t="str">
        <f t="shared" ca="1" si="3"/>
        <v/>
      </c>
      <c r="O15" s="81" t="str">
        <f t="shared" ca="1" si="17"/>
        <v/>
      </c>
      <c r="P15" s="81" t="str">
        <f t="shared" ca="1" si="4"/>
        <v/>
      </c>
      <c r="Q15" s="81" t="str">
        <f t="shared" ca="1" si="11"/>
        <v>mg/cm^2</v>
      </c>
      <c r="R15" s="109" t="s">
        <v>47</v>
      </c>
      <c r="S15" s="69" t="s">
        <v>77</v>
      </c>
      <c r="T15" s="111">
        <f t="shared" ca="1" si="12"/>
        <v>14</v>
      </c>
      <c r="U15" s="110" t="s">
        <v>11</v>
      </c>
      <c r="V15" s="111">
        <f t="shared" ca="1" si="18"/>
        <v>2</v>
      </c>
      <c r="W15" s="112" t="str">
        <f t="shared" ca="1" si="13"/>
        <v>Summary!$B$14</v>
      </c>
      <c r="X15" s="111" t="b">
        <f t="shared" ca="1" si="14"/>
        <v>1</v>
      </c>
      <c r="Y15" s="114"/>
      <c r="AA15" s="81"/>
    </row>
    <row r="16" spans="1:27" x14ac:dyDescent="0.35">
      <c r="A16" s="2" t="b">
        <f t="shared" ca="1" si="5"/>
        <v>0</v>
      </c>
      <c r="B16" s="97" t="str">
        <f t="shared" ca="1" si="0"/>
        <v>DESK-TD|TC|WRF|ANALYSIS|UPPER_LEFT|KO_P_TO_NEUTRON_RATIO</v>
      </c>
      <c r="C16" s="97" t="s">
        <v>174</v>
      </c>
      <c r="D16" s="104" t="str">
        <f t="shared" ca="1" si="6"/>
        <v>Y_KO-P / Y_n ratio</v>
      </c>
      <c r="E16" s="104" t="str">
        <f t="shared" ca="1" si="1"/>
        <v>Ratio between KO-P yield and neutron yield</v>
      </c>
      <c r="F16" s="108" t="s">
        <v>23</v>
      </c>
      <c r="G16" s="104" t="str">
        <f t="shared" ca="1" si="7"/>
        <v/>
      </c>
      <c r="H16" s="104" t="str">
        <f t="shared" ca="1" si="8"/>
        <v/>
      </c>
      <c r="I16" s="104" t="str">
        <f t="shared" ca="1" si="9"/>
        <v/>
      </c>
      <c r="J16" s="104" t="str">
        <f t="shared" ca="1" si="10"/>
        <v/>
      </c>
      <c r="K16" s="81" t="str">
        <f t="shared" ca="1" si="15"/>
        <v/>
      </c>
      <c r="L16" s="81" t="str">
        <f t="shared" ca="1" si="2"/>
        <v/>
      </c>
      <c r="M16" s="81" t="str">
        <f t="shared" ca="1" si="16"/>
        <v/>
      </c>
      <c r="N16" s="81" t="str">
        <f t="shared" ca="1" si="3"/>
        <v/>
      </c>
      <c r="O16" s="81" t="str">
        <f t="shared" ca="1" si="17"/>
        <v/>
      </c>
      <c r="P16" s="81" t="str">
        <f t="shared" ca="1" si="4"/>
        <v/>
      </c>
      <c r="Q16" s="81" t="str">
        <f t="shared" ca="1" si="11"/>
        <v/>
      </c>
      <c r="R16" s="115" t="s">
        <v>48</v>
      </c>
      <c r="S16" s="69" t="s">
        <v>78</v>
      </c>
      <c r="T16" s="111">
        <f t="shared" ca="1" si="12"/>
        <v>15</v>
      </c>
      <c r="U16" s="110" t="s">
        <v>11</v>
      </c>
      <c r="V16" s="111">
        <f t="shared" ca="1" si="18"/>
        <v>2</v>
      </c>
      <c r="W16" s="112" t="str">
        <f t="shared" ca="1" si="13"/>
        <v>Summary!$B$15</v>
      </c>
      <c r="X16" s="111" t="b">
        <f t="shared" ca="1" si="14"/>
        <v>1</v>
      </c>
      <c r="Y16" s="114"/>
      <c r="AA16" s="81"/>
    </row>
    <row r="17" spans="1:27" x14ac:dyDescent="0.35">
      <c r="A17" s="2" t="b">
        <f t="shared" ca="1" si="5"/>
        <v>0</v>
      </c>
      <c r="B17" s="97" t="str">
        <f t="shared" ca="1" si="0"/>
        <v>DESK-TD|TC|WRF|ANALYSIS|UPPER_LEFT|COMPRESSION_ABLATOR_RHOR_FROM_RATIO</v>
      </c>
      <c r="C17" s="97" t="s">
        <v>175</v>
      </c>
      <c r="D17" s="104" t="str">
        <f t="shared" ca="1" si="6"/>
        <v>Compr ablator &lt;ρR&gt; from ratio</v>
      </c>
      <c r="E17" s="104" t="str">
        <f t="shared" ca="1" si="1"/>
        <v>Compression-burn averaged ablator areal density</v>
      </c>
      <c r="F17" s="108" t="s">
        <v>23</v>
      </c>
      <c r="G17" s="104" t="str">
        <f t="shared" ca="1" si="7"/>
        <v/>
      </c>
      <c r="H17" s="104" t="str">
        <f t="shared" ca="1" si="8"/>
        <v/>
      </c>
      <c r="I17" s="104" t="str">
        <f t="shared" ca="1" si="9"/>
        <v/>
      </c>
      <c r="J17" s="104" t="str">
        <f t="shared" ca="1" si="10"/>
        <v/>
      </c>
      <c r="K17" s="81" t="str">
        <f t="shared" ca="1" si="15"/>
        <v/>
      </c>
      <c r="L17" s="81" t="str">
        <f t="shared" ca="1" si="2"/>
        <v/>
      </c>
      <c r="M17" s="81" t="str">
        <f t="shared" ca="1" si="16"/>
        <v/>
      </c>
      <c r="N17" s="81" t="str">
        <f t="shared" ca="1" si="3"/>
        <v/>
      </c>
      <c r="O17" s="81" t="str">
        <f t="shared" ca="1" si="17"/>
        <v/>
      </c>
      <c r="P17" s="81" t="str">
        <f t="shared" ca="1" si="4"/>
        <v/>
      </c>
      <c r="Q17" s="81" t="str">
        <f t="shared" ca="1" si="11"/>
        <v>mg/cm^2</v>
      </c>
      <c r="R17" s="115" t="s">
        <v>46</v>
      </c>
      <c r="S17" s="69" t="s">
        <v>79</v>
      </c>
      <c r="T17" s="111">
        <f t="shared" ca="1" si="12"/>
        <v>16</v>
      </c>
      <c r="U17" s="110" t="s">
        <v>11</v>
      </c>
      <c r="V17" s="111">
        <f t="shared" ca="1" si="18"/>
        <v>2</v>
      </c>
      <c r="W17" s="112" t="str">
        <f t="shared" ca="1" si="13"/>
        <v>Summary!$B$16</v>
      </c>
      <c r="X17" s="111" t="b">
        <f t="shared" ca="1" si="14"/>
        <v>1</v>
      </c>
      <c r="Y17" s="114"/>
      <c r="AA17" s="81"/>
    </row>
    <row r="18" spans="1:27" x14ac:dyDescent="0.35">
      <c r="A18" s="2" t="b">
        <f t="shared" ca="1" si="5"/>
        <v>0</v>
      </c>
      <c r="B18" s="97" t="str">
        <f t="shared" ca="1" si="0"/>
        <v>DESK-TD|TC|WRF|ANALYSIS|UPPER_LEFT|COMPRESSION_ABLATOR_RHOR_FROM_KO_P_SPEC</v>
      </c>
      <c r="C18" s="97" t="s">
        <v>176</v>
      </c>
      <c r="D18" s="104" t="str">
        <f t="shared" ca="1" si="6"/>
        <v>Compr ablator &lt;ρR&gt; from KO-P spec</v>
      </c>
      <c r="E18" s="104" t="str">
        <f t="shared" ca="1" si="1"/>
        <v>Compression-burn averaged ablator areal density</v>
      </c>
      <c r="F18" s="108" t="s">
        <v>23</v>
      </c>
      <c r="G18" s="104" t="str">
        <f t="shared" ca="1" si="7"/>
        <v/>
      </c>
      <c r="H18" s="104" t="str">
        <f t="shared" ca="1" si="8"/>
        <v/>
      </c>
      <c r="I18" s="104" t="str">
        <f t="shared" ca="1" si="9"/>
        <v/>
      </c>
      <c r="J18" s="104" t="str">
        <f t="shared" ca="1" si="10"/>
        <v/>
      </c>
      <c r="K18" s="81" t="str">
        <f t="shared" ca="1" si="15"/>
        <v/>
      </c>
      <c r="L18" s="81" t="str">
        <f t="shared" ca="1" si="2"/>
        <v/>
      </c>
      <c r="M18" s="81" t="str">
        <f t="shared" ca="1" si="16"/>
        <v/>
      </c>
      <c r="N18" s="81" t="str">
        <f t="shared" ca="1" si="3"/>
        <v/>
      </c>
      <c r="O18" s="81" t="str">
        <f t="shared" ca="1" si="17"/>
        <v/>
      </c>
      <c r="P18" s="81" t="str">
        <f t="shared" ca="1" si="4"/>
        <v/>
      </c>
      <c r="Q18" s="81" t="str">
        <f t="shared" ca="1" si="11"/>
        <v>mg/cm^2</v>
      </c>
      <c r="R18" s="115" t="s">
        <v>58</v>
      </c>
      <c r="S18" s="69" t="s">
        <v>80</v>
      </c>
      <c r="T18" s="111">
        <f t="shared" ca="1" si="12"/>
        <v>17</v>
      </c>
      <c r="U18" s="110" t="s">
        <v>11</v>
      </c>
      <c r="V18" s="111">
        <f t="shared" ca="1" si="18"/>
        <v>2</v>
      </c>
      <c r="W18" s="112" t="str">
        <f t="shared" ca="1" si="13"/>
        <v>Summary!$B$17</v>
      </c>
      <c r="X18" s="111" t="b">
        <f t="shared" ca="1" si="14"/>
        <v>1</v>
      </c>
      <c r="Y18" s="114"/>
      <c r="AA18" s="81"/>
    </row>
    <row r="19" spans="1:27" x14ac:dyDescent="0.35">
      <c r="A19" s="2" t="b">
        <f t="shared" ca="1" si="5"/>
        <v>0</v>
      </c>
      <c r="B19" s="97" t="str">
        <f t="shared" ref="B19:B25" ca="1" si="19">CONCATENATE(SUBSYSTEM_KEY,"|TC",INDIRECT("Port"),"|",INDIRECT("Instrument"),"|ANALYSIS|UPPER_RIGHT|", C19)</f>
        <v>DESK-TD|TC|WRF|ANALYSIS|UPPER_RIGHT|SHOCK_D3HE_P_YIELD</v>
      </c>
      <c r="C19" s="97" t="s">
        <v>73</v>
      </c>
      <c r="D19" s="104" t="str">
        <f t="shared" ca="1" si="6"/>
        <v>Shock D3He-p yield</v>
      </c>
      <c r="E19" s="104" t="str">
        <f t="shared" ca="1" si="1"/>
        <v>Proton yield (escaping implosion)</v>
      </c>
      <c r="F19" s="108" t="s">
        <v>23</v>
      </c>
      <c r="G19" s="104" t="str">
        <f t="shared" ca="1" si="7"/>
        <v/>
      </c>
      <c r="H19" s="104" t="str">
        <f t="shared" ca="1" si="8"/>
        <v/>
      </c>
      <c r="I19" s="104" t="str">
        <f t="shared" ca="1" si="9"/>
        <v/>
      </c>
      <c r="J19" s="104" t="str">
        <f t="shared" ca="1" si="10"/>
        <v/>
      </c>
      <c r="K19" s="81" t="str">
        <f ca="1">IF(OR(F19="integer", F19="double"), IF(ISBLANK(OFFSET(INDIRECT(R19), 0, 2, 1, 1)), "", OFFSET(INDIRECT(R19), 0, 2, 1, 1) * H19), "")</f>
        <v/>
      </c>
      <c r="L19" s="81" t="str">
        <f t="shared" ca="1" si="2"/>
        <v/>
      </c>
      <c r="M19" s="81" t="str">
        <f ca="1">IF(OR(F19="integer", F19="double"), IF(ISBLANK(OFFSET(INDIRECT(R19), 0, 3, 1, 1)), "", OFFSET(INDIRECT(R19), 0, 3, 1, 1) * H19), "")</f>
        <v/>
      </c>
      <c r="N19" s="81" t="str">
        <f t="shared" ca="1" si="3"/>
        <v/>
      </c>
      <c r="O19" s="81" t="str">
        <f ca="1">IF(OR(F19="integer", F19="double"), IF(ISBLANK(OFFSET(INDIRECT(R19), 0, 4, 1, 1)), "", OFFSET(INDIRECT(R19), 0, 4, 1, 1) * H19), "")</f>
        <v/>
      </c>
      <c r="P19" s="81" t="str">
        <f t="shared" ca="1" si="4"/>
        <v/>
      </c>
      <c r="Q19" s="81" t="str">
        <f t="shared" ca="1" si="11"/>
        <v>protons</v>
      </c>
      <c r="R19" s="116" t="s">
        <v>101</v>
      </c>
      <c r="S19" s="59" t="s">
        <v>99</v>
      </c>
      <c r="T19" s="111">
        <f t="shared" ca="1" si="12"/>
        <v>21</v>
      </c>
      <c r="U19" s="110" t="s">
        <v>11</v>
      </c>
      <c r="V19" s="111">
        <f t="shared" ca="1" si="18"/>
        <v>2</v>
      </c>
      <c r="W19" s="112" t="str">
        <f t="shared" ca="1" si="13"/>
        <v>Summary!$B$21</v>
      </c>
      <c r="X19" s="111" t="b">
        <f t="shared" ca="1" si="14"/>
        <v>1</v>
      </c>
      <c r="Y19" s="114"/>
      <c r="AA19" s="81"/>
    </row>
    <row r="20" spans="1:27" x14ac:dyDescent="0.35">
      <c r="A20" s="2" t="b">
        <f t="shared" ca="1" si="5"/>
        <v>0</v>
      </c>
      <c r="B20" s="97" t="str">
        <f t="shared" ca="1" si="19"/>
        <v>DESK-TD|TC|WRF|ANALYSIS|UPPER_RIGHT|COMPRESSION_D3HEP_YIELD</v>
      </c>
      <c r="C20" s="97" t="s">
        <v>173</v>
      </c>
      <c r="D20" s="104" t="str">
        <f t="shared" ca="1" si="6"/>
        <v>Compr D3He-p yield</v>
      </c>
      <c r="E20" s="104" t="str">
        <f t="shared" ca="1" si="1"/>
        <v>Proton yield (escaping implosion)</v>
      </c>
      <c r="F20" s="108" t="s">
        <v>23</v>
      </c>
      <c r="G20" s="104" t="str">
        <f t="shared" ca="1" si="7"/>
        <v/>
      </c>
      <c r="H20" s="104" t="str">
        <f t="shared" ca="1" si="8"/>
        <v/>
      </c>
      <c r="I20" s="104" t="str">
        <f t="shared" ca="1" si="9"/>
        <v/>
      </c>
      <c r="J20" s="104" t="str">
        <f t="shared" ca="1" si="10"/>
        <v/>
      </c>
      <c r="K20" s="81" t="str">
        <f ca="1">IF(OR(F20="integer", F20="double"), IF(ISBLANK(OFFSET(INDIRECT(R20), 0, 2, 1, 1)), "", OFFSET(INDIRECT(R20), 0, 2, 1, 1) * H20), "")</f>
        <v/>
      </c>
      <c r="L20" s="81" t="str">
        <f ca="1">K20</f>
        <v/>
      </c>
      <c r="M20" s="81" t="str">
        <f ca="1">IF(OR(F20="integer", F20="double"), IF(ISBLANK(OFFSET(INDIRECT(R20), 0, 3, 1, 1)), "", OFFSET(INDIRECT(R20), 0, 3, 1, 1) * H20), "")</f>
        <v/>
      </c>
      <c r="N20" s="81" t="str">
        <f ca="1">M20</f>
        <v/>
      </c>
      <c r="O20" s="81" t="str">
        <f ca="1">IF(OR(F20="integer", F20="double"), IF(ISBLANK(OFFSET(INDIRECT(R20), 0, 4, 1, 1)), "", OFFSET(INDIRECT(R20), 0, 4, 1, 1) * H20), "")</f>
        <v/>
      </c>
      <c r="P20" s="81" t="str">
        <f ca="1">O20</f>
        <v/>
      </c>
      <c r="Q20" s="81" t="str">
        <f t="shared" ca="1" si="11"/>
        <v>protons</v>
      </c>
      <c r="R20" s="115" t="s">
        <v>102</v>
      </c>
      <c r="S20" s="59" t="s">
        <v>100</v>
      </c>
      <c r="T20" s="111">
        <f t="shared" ca="1" si="12"/>
        <v>22</v>
      </c>
      <c r="U20" s="110" t="s">
        <v>11</v>
      </c>
      <c r="V20" s="111">
        <f t="shared" ca="1" si="18"/>
        <v>2</v>
      </c>
      <c r="W20" s="112" t="str">
        <f t="shared" ca="1" si="13"/>
        <v>Summary!$B$22</v>
      </c>
      <c r="X20" s="111" t="b">
        <f t="shared" ca="1" si="14"/>
        <v>1</v>
      </c>
      <c r="Y20" s="114"/>
      <c r="AA20" s="81"/>
    </row>
    <row r="21" spans="1:27" x14ac:dyDescent="0.35">
      <c r="A21" s="2" t="b">
        <f t="shared" ca="1" si="5"/>
        <v>0</v>
      </c>
      <c r="B21" s="97" t="str">
        <f t="shared" ca="1" si="19"/>
        <v>DESK-TD|TC|WRF|ANALYSIS|UPPER_RIGHT|RHOR_AT_SHOCK</v>
      </c>
      <c r="C21" s="97" t="s">
        <v>171</v>
      </c>
      <c r="D21" s="104" t="str">
        <f t="shared" ca="1" si="6"/>
        <v>&lt;ρR&gt; at shock</v>
      </c>
      <c r="E21" s="104" t="str">
        <f t="shared" ca="1" si="1"/>
        <v>Shock-burn averaged total areal density</v>
      </c>
      <c r="F21" s="108" t="s">
        <v>23</v>
      </c>
      <c r="G21" s="104" t="str">
        <f t="shared" ca="1" si="7"/>
        <v/>
      </c>
      <c r="H21" s="104" t="str">
        <f t="shared" ca="1" si="8"/>
        <v/>
      </c>
      <c r="I21" s="104" t="str">
        <f t="shared" ca="1" si="9"/>
        <v/>
      </c>
      <c r="J21" s="104" t="str">
        <f t="shared" ca="1" si="10"/>
        <v/>
      </c>
      <c r="K21" s="81" t="str">
        <f t="shared" ca="1" si="15"/>
        <v/>
      </c>
      <c r="L21" s="81" t="str">
        <f t="shared" ca="1" si="2"/>
        <v/>
      </c>
      <c r="M21" s="81" t="str">
        <f t="shared" ca="1" si="16"/>
        <v/>
      </c>
      <c r="N21" s="81" t="str">
        <f t="shared" ca="1" si="3"/>
        <v/>
      </c>
      <c r="O21" s="81" t="str">
        <f t="shared" ca="1" si="17"/>
        <v/>
      </c>
      <c r="P21" s="81" t="str">
        <f t="shared" ca="1" si="4"/>
        <v/>
      </c>
      <c r="Q21" s="81" t="str">
        <f t="shared" ca="1" si="11"/>
        <v>mg/cm^2</v>
      </c>
      <c r="R21" s="115" t="s">
        <v>94</v>
      </c>
      <c r="S21" s="69" t="s">
        <v>89</v>
      </c>
      <c r="T21" s="111">
        <f t="shared" ca="1" si="12"/>
        <v>23</v>
      </c>
      <c r="U21" s="110" t="s">
        <v>11</v>
      </c>
      <c r="V21" s="111">
        <f t="shared" ca="1" si="18"/>
        <v>2</v>
      </c>
      <c r="W21" s="112" t="str">
        <f t="shared" ca="1" si="13"/>
        <v>Summary!$B$23</v>
      </c>
      <c r="X21" s="111" t="b">
        <f t="shared" ca="1" si="14"/>
        <v>1</v>
      </c>
      <c r="Y21" s="114"/>
      <c r="AA21" s="81"/>
    </row>
    <row r="22" spans="1:27" x14ac:dyDescent="0.35">
      <c r="A22" s="2" t="b">
        <f t="shared" ca="1" si="5"/>
        <v>0</v>
      </c>
      <c r="B22" s="97" t="str">
        <f t="shared" ca="1" si="19"/>
        <v>DESK-TD|TC|WRF|ANALYSIS|UPPER_RIGHT|RHOR_AT_COMPRESSION</v>
      </c>
      <c r="C22" s="97" t="s">
        <v>172</v>
      </c>
      <c r="D22" s="104" t="str">
        <f t="shared" ca="1" si="6"/>
        <v>&lt;ρR&gt; at compression</v>
      </c>
      <c r="E22" s="104" t="str">
        <f t="shared" ca="1" si="1"/>
        <v>Compression-burn averaged total areal density</v>
      </c>
      <c r="F22" s="108" t="s">
        <v>23</v>
      </c>
      <c r="G22" s="104" t="str">
        <f t="shared" ca="1" si="7"/>
        <v/>
      </c>
      <c r="H22" s="104" t="str">
        <f t="shared" ca="1" si="8"/>
        <v/>
      </c>
      <c r="I22" s="104" t="str">
        <f t="shared" ca="1" si="9"/>
        <v/>
      </c>
      <c r="J22" s="104" t="str">
        <f t="shared" ca="1" si="10"/>
        <v/>
      </c>
      <c r="K22" s="81" t="str">
        <f t="shared" ca="1" si="15"/>
        <v/>
      </c>
      <c r="L22" s="81" t="str">
        <f t="shared" ca="1" si="2"/>
        <v/>
      </c>
      <c r="M22" s="81" t="str">
        <f t="shared" ca="1" si="16"/>
        <v/>
      </c>
      <c r="N22" s="81" t="str">
        <f t="shared" ca="1" si="3"/>
        <v/>
      </c>
      <c r="O22" s="81" t="str">
        <f t="shared" ca="1" si="17"/>
        <v/>
      </c>
      <c r="P22" s="81" t="str">
        <f t="shared" ca="1" si="4"/>
        <v/>
      </c>
      <c r="Q22" s="81" t="str">
        <f t="shared" ca="1" si="11"/>
        <v>mg/cm^2</v>
      </c>
      <c r="R22" s="115" t="s">
        <v>95</v>
      </c>
      <c r="S22" s="69" t="s">
        <v>90</v>
      </c>
      <c r="T22" s="111">
        <f t="shared" ca="1" si="12"/>
        <v>24</v>
      </c>
      <c r="U22" s="110" t="s">
        <v>11</v>
      </c>
      <c r="V22" s="111">
        <f t="shared" ca="1" si="18"/>
        <v>2</v>
      </c>
      <c r="W22" s="112" t="str">
        <f t="shared" ca="1" si="13"/>
        <v>Summary!$B$24</v>
      </c>
      <c r="X22" s="111" t="b">
        <f t="shared" ca="1" si="14"/>
        <v>1</v>
      </c>
      <c r="Y22" s="114"/>
      <c r="AA22" s="81"/>
    </row>
    <row r="23" spans="1:27" x14ac:dyDescent="0.35">
      <c r="A23" s="2" t="b">
        <f t="shared" ca="1" si="5"/>
        <v>0</v>
      </c>
      <c r="B23" s="97" t="str">
        <f t="shared" ca="1" si="19"/>
        <v>DESK-TD|TC|WRF|ANALYSIS|UPPER_RIGHT|KO_P_TO_NEUTRON_RATIO</v>
      </c>
      <c r="C23" s="97" t="s">
        <v>174</v>
      </c>
      <c r="D23" s="104" t="str">
        <f t="shared" ca="1" si="6"/>
        <v>Y_KO-P / Y_n ratio</v>
      </c>
      <c r="E23" s="104" t="str">
        <f t="shared" ca="1" si="1"/>
        <v>Ratio between KO-P yield and neutron yield</v>
      </c>
      <c r="F23" s="108" t="s">
        <v>23</v>
      </c>
      <c r="G23" s="104" t="str">
        <f t="shared" ca="1" si="7"/>
        <v/>
      </c>
      <c r="H23" s="104" t="str">
        <f t="shared" ca="1" si="8"/>
        <v/>
      </c>
      <c r="I23" s="104" t="str">
        <f t="shared" ca="1" si="9"/>
        <v/>
      </c>
      <c r="J23" s="104" t="str">
        <f t="shared" ca="1" si="10"/>
        <v/>
      </c>
      <c r="K23" s="81" t="str">
        <f t="shared" ca="1" si="15"/>
        <v/>
      </c>
      <c r="L23" s="81" t="str">
        <f t="shared" ca="1" si="2"/>
        <v/>
      </c>
      <c r="M23" s="81" t="str">
        <f t="shared" ca="1" si="16"/>
        <v/>
      </c>
      <c r="N23" s="81" t="str">
        <f t="shared" ca="1" si="3"/>
        <v/>
      </c>
      <c r="O23" s="81" t="str">
        <f t="shared" ca="1" si="17"/>
        <v/>
      </c>
      <c r="P23" s="81" t="str">
        <f t="shared" ca="1" si="4"/>
        <v/>
      </c>
      <c r="Q23" s="81" t="str">
        <f t="shared" ca="1" si="11"/>
        <v/>
      </c>
      <c r="R23" s="115" t="s">
        <v>96</v>
      </c>
      <c r="S23" s="69" t="s">
        <v>91</v>
      </c>
      <c r="T23" s="111">
        <f t="shared" ca="1" si="12"/>
        <v>25</v>
      </c>
      <c r="U23" s="110" t="s">
        <v>11</v>
      </c>
      <c r="V23" s="111">
        <f t="shared" ca="1" si="18"/>
        <v>2</v>
      </c>
      <c r="W23" s="112" t="str">
        <f t="shared" ca="1" si="13"/>
        <v>Summary!$B$25</v>
      </c>
      <c r="X23" s="111" t="b">
        <f t="shared" ca="1" si="14"/>
        <v>1</v>
      </c>
      <c r="Y23" s="114"/>
      <c r="AA23" s="81"/>
    </row>
    <row r="24" spans="1:27" x14ac:dyDescent="0.35">
      <c r="A24" s="2" t="b">
        <f t="shared" ca="1" si="5"/>
        <v>0</v>
      </c>
      <c r="B24" s="97" t="str">
        <f t="shared" ca="1" si="19"/>
        <v>DESK-TD|TC|WRF|ANALYSIS|UPPER_RIGHT|COMPRESSION_ABLATOR_RHOR_FROM_RATIO</v>
      </c>
      <c r="C24" s="97" t="s">
        <v>175</v>
      </c>
      <c r="D24" s="104" t="str">
        <f t="shared" ca="1" si="6"/>
        <v>Compr ablator &lt;ρR&gt; from ratio</v>
      </c>
      <c r="E24" s="104" t="str">
        <f t="shared" ca="1" si="1"/>
        <v>Compression-burn averaged ablator areal density</v>
      </c>
      <c r="F24" s="108" t="s">
        <v>23</v>
      </c>
      <c r="G24" s="104" t="str">
        <f t="shared" ca="1" si="7"/>
        <v/>
      </c>
      <c r="H24" s="104" t="str">
        <f t="shared" ca="1" si="8"/>
        <v/>
      </c>
      <c r="I24" s="104" t="str">
        <f t="shared" ca="1" si="9"/>
        <v/>
      </c>
      <c r="J24" s="104" t="str">
        <f t="shared" ca="1" si="10"/>
        <v/>
      </c>
      <c r="K24" s="81" t="str">
        <f t="shared" ca="1" si="15"/>
        <v/>
      </c>
      <c r="L24" s="81" t="str">
        <f t="shared" ca="1" si="2"/>
        <v/>
      </c>
      <c r="M24" s="81" t="str">
        <f t="shared" ca="1" si="16"/>
        <v/>
      </c>
      <c r="N24" s="81" t="str">
        <f t="shared" ca="1" si="3"/>
        <v/>
      </c>
      <c r="O24" s="81" t="str">
        <f t="shared" ca="1" si="17"/>
        <v/>
      </c>
      <c r="P24" s="81" t="str">
        <f t="shared" ca="1" si="4"/>
        <v/>
      </c>
      <c r="Q24" s="81" t="str">
        <f t="shared" ca="1" si="11"/>
        <v>mg/cm^2</v>
      </c>
      <c r="R24" s="115" t="s">
        <v>97</v>
      </c>
      <c r="S24" s="69" t="s">
        <v>92</v>
      </c>
      <c r="T24" s="111">
        <f t="shared" ca="1" si="12"/>
        <v>26</v>
      </c>
      <c r="U24" s="110" t="s">
        <v>11</v>
      </c>
      <c r="V24" s="111">
        <f t="shared" ca="1" si="18"/>
        <v>2</v>
      </c>
      <c r="W24" s="112" t="str">
        <f t="shared" ca="1" si="13"/>
        <v>Summary!$B$26</v>
      </c>
      <c r="X24" s="111" t="b">
        <f t="shared" ca="1" si="14"/>
        <v>1</v>
      </c>
      <c r="Y24" s="114"/>
      <c r="AA24" s="81"/>
    </row>
    <row r="25" spans="1:27" x14ac:dyDescent="0.35">
      <c r="A25" s="2" t="b">
        <f t="shared" ca="1" si="5"/>
        <v>0</v>
      </c>
      <c r="B25" s="97" t="str">
        <f t="shared" ca="1" si="19"/>
        <v>DESK-TD|TC|WRF|ANALYSIS|UPPER_RIGHT|COMPRESSION_ABLATOR_RHOR_FROM_KO_P_SPEC</v>
      </c>
      <c r="C25" s="97" t="s">
        <v>176</v>
      </c>
      <c r="D25" s="104" t="str">
        <f t="shared" ca="1" si="6"/>
        <v>Compr ablator &lt;ρR&gt; from KO-P spec</v>
      </c>
      <c r="E25" s="104" t="str">
        <f t="shared" ca="1" si="1"/>
        <v>Compression-burn averaged ablator areal density</v>
      </c>
      <c r="F25" s="108" t="s">
        <v>23</v>
      </c>
      <c r="G25" s="104" t="str">
        <f t="shared" ca="1" si="7"/>
        <v/>
      </c>
      <c r="H25" s="104" t="str">
        <f t="shared" ca="1" si="8"/>
        <v/>
      </c>
      <c r="I25" s="104" t="str">
        <f t="shared" ca="1" si="9"/>
        <v/>
      </c>
      <c r="J25" s="104" t="str">
        <f t="shared" ca="1" si="10"/>
        <v/>
      </c>
      <c r="K25" s="81" t="str">
        <f t="shared" ca="1" si="15"/>
        <v/>
      </c>
      <c r="L25" s="81" t="str">
        <f t="shared" ca="1" si="2"/>
        <v/>
      </c>
      <c r="M25" s="81" t="str">
        <f t="shared" ca="1" si="16"/>
        <v/>
      </c>
      <c r="N25" s="81" t="str">
        <f t="shared" ca="1" si="3"/>
        <v/>
      </c>
      <c r="O25" s="81" t="str">
        <f t="shared" ca="1" si="17"/>
        <v/>
      </c>
      <c r="P25" s="81" t="str">
        <f t="shared" ca="1" si="4"/>
        <v/>
      </c>
      <c r="Q25" s="81" t="str">
        <f t="shared" ca="1" si="11"/>
        <v>mg/cm^2</v>
      </c>
      <c r="R25" s="109" t="s">
        <v>98</v>
      </c>
      <c r="S25" s="69" t="s">
        <v>93</v>
      </c>
      <c r="T25" s="111">
        <f t="shared" ca="1" si="12"/>
        <v>27</v>
      </c>
      <c r="U25" s="110" t="s">
        <v>11</v>
      </c>
      <c r="V25" s="111">
        <f t="shared" ca="1" si="18"/>
        <v>2</v>
      </c>
      <c r="W25" s="112" t="str">
        <f t="shared" ca="1" si="13"/>
        <v>Summary!$B$27</v>
      </c>
      <c r="X25" s="111" t="b">
        <f t="shared" ca="1" si="14"/>
        <v>1</v>
      </c>
      <c r="Y25" s="114"/>
      <c r="AA25" s="81"/>
    </row>
    <row r="26" spans="1:27" x14ac:dyDescent="0.35">
      <c r="A26" s="2" t="b">
        <f t="shared" ca="1" si="5"/>
        <v>0</v>
      </c>
      <c r="B26" s="97" t="str">
        <f t="shared" ref="B26:B32" ca="1" si="20">CONCATENATE(SUBSYSTEM_KEY,"|TC",INDIRECT("Port"),"|",INDIRECT("Instrument"),"|ANALYSIS|LOWER_LEFT|", C26)</f>
        <v>DESK-TD|TC|WRF|ANALYSIS|LOWER_LEFT|SHOCK_D3HE_P_YIELD</v>
      </c>
      <c r="C26" s="97" t="s">
        <v>73</v>
      </c>
      <c r="D26" s="104" t="str">
        <f t="shared" ca="1" si="6"/>
        <v>Shock D3He-p yield</v>
      </c>
      <c r="E26" s="104" t="str">
        <f t="shared" ca="1" si="1"/>
        <v>Proton yield (escaping implosion)</v>
      </c>
      <c r="F26" s="108" t="s">
        <v>23</v>
      </c>
      <c r="G26" s="104" t="str">
        <f t="shared" ca="1" si="7"/>
        <v/>
      </c>
      <c r="H26" s="104" t="str">
        <f t="shared" ca="1" si="8"/>
        <v/>
      </c>
      <c r="I26" s="104" t="str">
        <f t="shared" ca="1" si="9"/>
        <v/>
      </c>
      <c r="J26" s="104" t="str">
        <f t="shared" ca="1" si="10"/>
        <v/>
      </c>
      <c r="K26" s="81" t="str">
        <f ca="1">IF(OR(F26="integer", F26="double"), IF(ISBLANK(OFFSET(INDIRECT(R26), 0, 2, 1, 1)), "", OFFSET(INDIRECT(R26), 0, 2, 1, 1) * H26), "")</f>
        <v/>
      </c>
      <c r="L26" s="81" t="str">
        <f t="shared" ca="1" si="2"/>
        <v/>
      </c>
      <c r="M26" s="81" t="str">
        <f ca="1">IF(OR(F26="integer", F26="double"), IF(ISBLANK(OFFSET(INDIRECT(R26), 0, 3, 1, 1)), "", OFFSET(INDIRECT(R26), 0, 3, 1, 1) * H26), "")</f>
        <v/>
      </c>
      <c r="N26" s="81" t="str">
        <f t="shared" ca="1" si="3"/>
        <v/>
      </c>
      <c r="O26" s="81" t="str">
        <f ca="1">IF(OR(F26="integer", F26="double"), IF(ISBLANK(OFFSET(INDIRECT(R26), 0, 4, 1, 1)), "", OFFSET(INDIRECT(R26), 0, 4, 1, 1) * H26), "")</f>
        <v/>
      </c>
      <c r="P26" s="81" t="str">
        <f t="shared" ca="1" si="4"/>
        <v/>
      </c>
      <c r="Q26" s="81" t="s">
        <v>68</v>
      </c>
      <c r="R26" s="109" t="s">
        <v>110</v>
      </c>
      <c r="S26" s="59" t="s">
        <v>103</v>
      </c>
      <c r="T26" s="111">
        <f t="shared" ca="1" si="12"/>
        <v>31</v>
      </c>
      <c r="U26" s="110" t="s">
        <v>11</v>
      </c>
      <c r="V26" s="111">
        <f t="shared" ca="1" si="18"/>
        <v>2</v>
      </c>
      <c r="W26" s="112" t="str">
        <f t="shared" ca="1" si="13"/>
        <v>Summary!$B$31</v>
      </c>
      <c r="X26" s="111" t="b">
        <f t="shared" ca="1" si="14"/>
        <v>1</v>
      </c>
      <c r="Y26" s="114"/>
      <c r="AA26" s="81"/>
    </row>
    <row r="27" spans="1:27" x14ac:dyDescent="0.35">
      <c r="A27" s="2" t="b">
        <f t="shared" ca="1" si="5"/>
        <v>0</v>
      </c>
      <c r="B27" s="97" t="str">
        <f t="shared" ca="1" si="20"/>
        <v>DESK-TD|TC|WRF|ANALYSIS|LOWER_LEFT|COMPRESSION_D3HEP_YIELD</v>
      </c>
      <c r="C27" s="97" t="s">
        <v>173</v>
      </c>
      <c r="D27" s="104" t="str">
        <f t="shared" ca="1" si="6"/>
        <v>Compr D3He-p yield</v>
      </c>
      <c r="E27" s="104" t="str">
        <f t="shared" ca="1" si="1"/>
        <v>Proton yield (escaping implosion)</v>
      </c>
      <c r="F27" s="108" t="s">
        <v>23</v>
      </c>
      <c r="G27" s="104" t="str">
        <f t="shared" ca="1" si="7"/>
        <v/>
      </c>
      <c r="H27" s="104" t="str">
        <f t="shared" ca="1" si="8"/>
        <v/>
      </c>
      <c r="I27" s="104" t="str">
        <f t="shared" ca="1" si="9"/>
        <v/>
      </c>
      <c r="J27" s="104" t="str">
        <f t="shared" ca="1" si="10"/>
        <v/>
      </c>
      <c r="K27" s="81" t="str">
        <f ca="1">IF(OR(F27="integer", F27="double"), IF(ISBLANK(OFFSET(INDIRECT(R27), 0, 2, 1, 1)), "", OFFSET(INDIRECT(R27), 0, 2, 1, 1) * H27), "")</f>
        <v/>
      </c>
      <c r="L27" s="81" t="str">
        <f ca="1">K27</f>
        <v/>
      </c>
      <c r="M27" s="81" t="str">
        <f ca="1">IF(OR(F27="integer", F27="double"), IF(ISBLANK(OFFSET(INDIRECT(R27), 0, 3, 1, 1)), "", OFFSET(INDIRECT(R27), 0, 3, 1, 1) * H27), "")</f>
        <v/>
      </c>
      <c r="N27" s="81" t="str">
        <f ca="1">M27</f>
        <v/>
      </c>
      <c r="O27" s="81" t="str">
        <f ca="1">IF(OR(F27="integer", F27="double"), IF(ISBLANK(OFFSET(INDIRECT(R27), 0, 4, 1, 1)), "", OFFSET(INDIRECT(R27), 0, 4, 1, 1) * H27), "")</f>
        <v/>
      </c>
      <c r="P27" s="81" t="str">
        <f ca="1">O27</f>
        <v/>
      </c>
      <c r="Q27" s="81" t="str">
        <f t="shared" ca="1" si="11"/>
        <v>protons</v>
      </c>
      <c r="R27" s="109" t="s">
        <v>111</v>
      </c>
      <c r="S27" s="59" t="s">
        <v>104</v>
      </c>
      <c r="T27" s="111">
        <f t="shared" ca="1" si="12"/>
        <v>32</v>
      </c>
      <c r="U27" s="110" t="s">
        <v>11</v>
      </c>
      <c r="V27" s="111">
        <f t="shared" ca="1" si="18"/>
        <v>2</v>
      </c>
      <c r="W27" s="112" t="str">
        <f t="shared" ca="1" si="13"/>
        <v>Summary!$B$32</v>
      </c>
      <c r="X27" s="111" t="b">
        <f t="shared" ca="1" si="14"/>
        <v>1</v>
      </c>
      <c r="Y27" s="114"/>
      <c r="AA27" s="81"/>
    </row>
    <row r="28" spans="1:27" x14ac:dyDescent="0.35">
      <c r="A28" s="2" t="b">
        <f t="shared" ca="1" si="5"/>
        <v>0</v>
      </c>
      <c r="B28" s="97" t="str">
        <f t="shared" ca="1" si="20"/>
        <v>DESK-TD|TC|WRF|ANALYSIS|LOWER_LEFT|RHOR_AT_SHOCK</v>
      </c>
      <c r="C28" s="97" t="s">
        <v>171</v>
      </c>
      <c r="D28" s="104" t="str">
        <f t="shared" ca="1" si="6"/>
        <v>&lt;ρR&gt; at shock</v>
      </c>
      <c r="E28" s="104" t="str">
        <f t="shared" ca="1" si="1"/>
        <v>Shock-burn averaged total areal density</v>
      </c>
      <c r="F28" s="108" t="s">
        <v>23</v>
      </c>
      <c r="G28" s="104" t="str">
        <f t="shared" ca="1" si="7"/>
        <v/>
      </c>
      <c r="H28" s="104" t="str">
        <f t="shared" ca="1" si="8"/>
        <v/>
      </c>
      <c r="I28" s="104" t="str">
        <f t="shared" ca="1" si="9"/>
        <v/>
      </c>
      <c r="J28" s="104" t="str">
        <f t="shared" ca="1" si="10"/>
        <v/>
      </c>
      <c r="K28" s="81" t="str">
        <f t="shared" ca="1" si="15"/>
        <v/>
      </c>
      <c r="L28" s="81" t="str">
        <f t="shared" ca="1" si="2"/>
        <v/>
      </c>
      <c r="M28" s="81" t="str">
        <f t="shared" ca="1" si="16"/>
        <v/>
      </c>
      <c r="N28" s="81" t="str">
        <f t="shared" ca="1" si="3"/>
        <v/>
      </c>
      <c r="O28" s="81" t="str">
        <f t="shared" ca="1" si="17"/>
        <v/>
      </c>
      <c r="P28" s="81" t="str">
        <f t="shared" ca="1" si="4"/>
        <v/>
      </c>
      <c r="Q28" s="81" t="str">
        <f t="shared" ca="1" si="11"/>
        <v>mg/cm^2</v>
      </c>
      <c r="R28" s="109" t="s">
        <v>112</v>
      </c>
      <c r="S28" s="69" t="s">
        <v>105</v>
      </c>
      <c r="T28" s="111">
        <f t="shared" ca="1" si="12"/>
        <v>33</v>
      </c>
      <c r="U28" s="110" t="s">
        <v>11</v>
      </c>
      <c r="V28" s="111">
        <f t="shared" ca="1" si="18"/>
        <v>2</v>
      </c>
      <c r="W28" s="112" t="str">
        <f t="shared" ca="1" si="13"/>
        <v>Summary!$B$33</v>
      </c>
      <c r="X28" s="111" t="b">
        <f t="shared" ca="1" si="14"/>
        <v>1</v>
      </c>
      <c r="Y28" s="114"/>
      <c r="AA28" s="81"/>
    </row>
    <row r="29" spans="1:27" x14ac:dyDescent="0.35">
      <c r="A29" s="2" t="b">
        <f t="shared" ca="1" si="5"/>
        <v>0</v>
      </c>
      <c r="B29" s="97" t="str">
        <f t="shared" ca="1" si="20"/>
        <v>DESK-TD|TC|WRF|ANALYSIS|LOWER_LEFT|RHOR_AT_COMPRESSION</v>
      </c>
      <c r="C29" s="97" t="s">
        <v>172</v>
      </c>
      <c r="D29" s="104" t="str">
        <f t="shared" ca="1" si="6"/>
        <v>&lt;ρR&gt; at compression</v>
      </c>
      <c r="E29" s="104" t="str">
        <f t="shared" ca="1" si="1"/>
        <v>Compression-burn averaged total areal density</v>
      </c>
      <c r="F29" s="108" t="s">
        <v>23</v>
      </c>
      <c r="G29" s="104" t="str">
        <f t="shared" ca="1" si="7"/>
        <v/>
      </c>
      <c r="H29" s="104" t="str">
        <f t="shared" ca="1" si="8"/>
        <v/>
      </c>
      <c r="I29" s="104" t="str">
        <f t="shared" ca="1" si="9"/>
        <v/>
      </c>
      <c r="J29" s="104" t="str">
        <f t="shared" ca="1" si="10"/>
        <v/>
      </c>
      <c r="K29" s="81" t="str">
        <f t="shared" ca="1" si="15"/>
        <v/>
      </c>
      <c r="L29" s="81" t="str">
        <f t="shared" ca="1" si="2"/>
        <v/>
      </c>
      <c r="M29" s="81" t="str">
        <f t="shared" ca="1" si="16"/>
        <v/>
      </c>
      <c r="N29" s="81" t="str">
        <f t="shared" ca="1" si="3"/>
        <v/>
      </c>
      <c r="O29" s="81" t="str">
        <f t="shared" ca="1" si="17"/>
        <v/>
      </c>
      <c r="P29" s="81" t="str">
        <f t="shared" ca="1" si="4"/>
        <v/>
      </c>
      <c r="Q29" s="81" t="str">
        <f t="shared" ca="1" si="11"/>
        <v>mg/cm^2</v>
      </c>
      <c r="R29" s="109" t="s">
        <v>113</v>
      </c>
      <c r="S29" s="69" t="s">
        <v>106</v>
      </c>
      <c r="T29" s="111">
        <f t="shared" ca="1" si="12"/>
        <v>34</v>
      </c>
      <c r="U29" s="110" t="s">
        <v>11</v>
      </c>
      <c r="V29" s="111">
        <f t="shared" ca="1" si="18"/>
        <v>2</v>
      </c>
      <c r="W29" s="112" t="str">
        <f t="shared" ca="1" si="13"/>
        <v>Summary!$B$34</v>
      </c>
      <c r="X29" s="111" t="b">
        <f t="shared" ca="1" si="14"/>
        <v>1</v>
      </c>
      <c r="Y29" s="114"/>
      <c r="AA29" s="81"/>
    </row>
    <row r="30" spans="1:27" x14ac:dyDescent="0.35">
      <c r="A30" s="2" t="b">
        <f t="shared" ca="1" si="5"/>
        <v>0</v>
      </c>
      <c r="B30" s="97" t="str">
        <f t="shared" ca="1" si="20"/>
        <v>DESK-TD|TC|WRF|ANALYSIS|LOWER_LEFT|KO_P_TO_NEUTRON_RATIO</v>
      </c>
      <c r="C30" s="97" t="s">
        <v>174</v>
      </c>
      <c r="D30" s="104" t="str">
        <f t="shared" ca="1" si="6"/>
        <v>Y_KO-P / Y_n ratio</v>
      </c>
      <c r="E30" s="104" t="str">
        <f t="shared" ca="1" si="1"/>
        <v>Ratio between KO-P yield and neutron yield</v>
      </c>
      <c r="F30" s="108" t="s">
        <v>23</v>
      </c>
      <c r="G30" s="104" t="str">
        <f t="shared" ca="1" si="7"/>
        <v/>
      </c>
      <c r="H30" s="104" t="str">
        <f t="shared" ca="1" si="8"/>
        <v/>
      </c>
      <c r="I30" s="104" t="str">
        <f t="shared" ca="1" si="9"/>
        <v/>
      </c>
      <c r="J30" s="104" t="str">
        <f t="shared" ca="1" si="10"/>
        <v/>
      </c>
      <c r="K30" s="81" t="str">
        <f t="shared" ca="1" si="15"/>
        <v/>
      </c>
      <c r="L30" s="81" t="str">
        <f t="shared" ca="1" si="2"/>
        <v/>
      </c>
      <c r="M30" s="81" t="str">
        <f t="shared" ca="1" si="16"/>
        <v/>
      </c>
      <c r="N30" s="81" t="str">
        <f t="shared" ca="1" si="3"/>
        <v/>
      </c>
      <c r="O30" s="81" t="str">
        <f t="shared" ca="1" si="17"/>
        <v/>
      </c>
      <c r="P30" s="81" t="str">
        <f t="shared" ca="1" si="4"/>
        <v/>
      </c>
      <c r="Q30" s="81" t="str">
        <f t="shared" ca="1" si="11"/>
        <v/>
      </c>
      <c r="R30" s="109" t="s">
        <v>114</v>
      </c>
      <c r="S30" s="69" t="s">
        <v>107</v>
      </c>
      <c r="T30" s="111">
        <f t="shared" ca="1" si="12"/>
        <v>35</v>
      </c>
      <c r="U30" s="110" t="s">
        <v>11</v>
      </c>
      <c r="V30" s="111">
        <f t="shared" ca="1" si="18"/>
        <v>2</v>
      </c>
      <c r="W30" s="112" t="str">
        <f t="shared" ca="1" si="13"/>
        <v>Summary!$B$35</v>
      </c>
      <c r="X30" s="111" t="b">
        <f t="shared" ca="1" si="14"/>
        <v>1</v>
      </c>
      <c r="Y30" s="114"/>
      <c r="AA30" s="81"/>
    </row>
    <row r="31" spans="1:27" x14ac:dyDescent="0.35">
      <c r="A31" s="2" t="b">
        <f t="shared" ca="1" si="5"/>
        <v>0</v>
      </c>
      <c r="B31" s="97" t="str">
        <f t="shared" ca="1" si="20"/>
        <v>DESK-TD|TC|WRF|ANALYSIS|LOWER_LEFT|COMPRESSION_ABLATOR_RHOR_FROM_RATIO</v>
      </c>
      <c r="C31" s="97" t="s">
        <v>175</v>
      </c>
      <c r="D31" s="104" t="str">
        <f t="shared" ca="1" si="6"/>
        <v>Compr ablator &lt;ρR&gt; from ratio</v>
      </c>
      <c r="E31" s="104" t="str">
        <f t="shared" ca="1" si="1"/>
        <v>Compression-burn averaged ablator areal density</v>
      </c>
      <c r="F31" s="108" t="s">
        <v>23</v>
      </c>
      <c r="G31" s="104" t="str">
        <f t="shared" ca="1" si="7"/>
        <v/>
      </c>
      <c r="H31" s="104" t="str">
        <f t="shared" ca="1" si="8"/>
        <v/>
      </c>
      <c r="I31" s="104" t="str">
        <f t="shared" ca="1" si="9"/>
        <v/>
      </c>
      <c r="J31" s="104" t="str">
        <f t="shared" ca="1" si="10"/>
        <v/>
      </c>
      <c r="K31" s="81" t="str">
        <f t="shared" ca="1" si="15"/>
        <v/>
      </c>
      <c r="L31" s="81" t="str">
        <f t="shared" ca="1" si="2"/>
        <v/>
      </c>
      <c r="M31" s="81" t="str">
        <f t="shared" ca="1" si="16"/>
        <v/>
      </c>
      <c r="N31" s="81" t="str">
        <f t="shared" ca="1" si="3"/>
        <v/>
      </c>
      <c r="O31" s="81" t="str">
        <f t="shared" ca="1" si="17"/>
        <v/>
      </c>
      <c r="P31" s="81" t="str">
        <f t="shared" ca="1" si="4"/>
        <v/>
      </c>
      <c r="Q31" s="81" t="str">
        <f t="shared" ca="1" si="11"/>
        <v>mg/cm^2</v>
      </c>
      <c r="R31" s="109" t="s">
        <v>115</v>
      </c>
      <c r="S31" s="69" t="s">
        <v>108</v>
      </c>
      <c r="T31" s="111">
        <f t="shared" ca="1" si="12"/>
        <v>36</v>
      </c>
      <c r="U31" s="110" t="s">
        <v>11</v>
      </c>
      <c r="V31" s="111">
        <f t="shared" ca="1" si="18"/>
        <v>2</v>
      </c>
      <c r="W31" s="112" t="str">
        <f t="shared" ca="1" si="13"/>
        <v>Summary!$B$36</v>
      </c>
      <c r="X31" s="111" t="b">
        <f t="shared" ca="1" si="14"/>
        <v>1</v>
      </c>
      <c r="Y31" s="114"/>
      <c r="AA31" s="81"/>
    </row>
    <row r="32" spans="1:27" x14ac:dyDescent="0.35">
      <c r="A32" s="2" t="b">
        <f t="shared" ca="1" si="5"/>
        <v>0</v>
      </c>
      <c r="B32" s="97" t="str">
        <f t="shared" ca="1" si="20"/>
        <v>DESK-TD|TC|WRF|ANALYSIS|LOWER_LEFT|COMPRESSION_ABLATOR_RHOR_FROM_KO_P_SPEC</v>
      </c>
      <c r="C32" s="97" t="s">
        <v>176</v>
      </c>
      <c r="D32" s="104" t="str">
        <f t="shared" ca="1" si="6"/>
        <v>Compr ablator &lt;ρR&gt; from KO-P spec</v>
      </c>
      <c r="E32" s="104" t="str">
        <f t="shared" ca="1" si="1"/>
        <v>Compression-burn averaged ablator areal density</v>
      </c>
      <c r="F32" s="108" t="s">
        <v>23</v>
      </c>
      <c r="G32" s="104" t="str">
        <f t="shared" ca="1" si="7"/>
        <v/>
      </c>
      <c r="H32" s="104" t="str">
        <f t="shared" ca="1" si="8"/>
        <v/>
      </c>
      <c r="I32" s="104" t="str">
        <f t="shared" ca="1" si="9"/>
        <v/>
      </c>
      <c r="J32" s="104" t="str">
        <f t="shared" ca="1" si="10"/>
        <v/>
      </c>
      <c r="K32" s="81" t="str">
        <f t="shared" ca="1" si="15"/>
        <v/>
      </c>
      <c r="L32" s="81" t="str">
        <f t="shared" ca="1" si="2"/>
        <v/>
      </c>
      <c r="M32" s="81" t="str">
        <f t="shared" ca="1" si="16"/>
        <v/>
      </c>
      <c r="N32" s="81" t="str">
        <f t="shared" ca="1" si="3"/>
        <v/>
      </c>
      <c r="O32" s="81" t="str">
        <f t="shared" ca="1" si="17"/>
        <v/>
      </c>
      <c r="P32" s="81" t="str">
        <f t="shared" ca="1" si="4"/>
        <v/>
      </c>
      <c r="Q32" s="81" t="str">
        <f t="shared" ca="1" si="11"/>
        <v>mg/cm^2</v>
      </c>
      <c r="R32" s="109" t="s">
        <v>116</v>
      </c>
      <c r="S32" s="69" t="s">
        <v>109</v>
      </c>
      <c r="T32" s="111">
        <f t="shared" ca="1" si="12"/>
        <v>37</v>
      </c>
      <c r="U32" s="110" t="s">
        <v>11</v>
      </c>
      <c r="V32" s="111">
        <f t="shared" ca="1" si="18"/>
        <v>2</v>
      </c>
      <c r="W32" s="112" t="str">
        <f t="shared" ca="1" si="13"/>
        <v>Summary!$B$37</v>
      </c>
      <c r="X32" s="111" t="b">
        <f t="shared" ca="1" si="14"/>
        <v>1</v>
      </c>
      <c r="Y32" s="114"/>
      <c r="AA32" s="81"/>
    </row>
    <row r="33" spans="1:27" x14ac:dyDescent="0.35">
      <c r="A33" s="2" t="b">
        <f t="shared" ca="1" si="5"/>
        <v>0</v>
      </c>
      <c r="B33" s="97" t="str">
        <f t="shared" ref="B33:B39" ca="1" si="21">CONCATENATE(SUBSYSTEM_KEY,"|TC",INDIRECT("Port"),"|",INDIRECT("Instrument"),"|ANALYSIS|LOWER_RIGHT|", C33)</f>
        <v>DESK-TD|TC|WRF|ANALYSIS|LOWER_RIGHT|SHOCK_D3HE_P_YIELD</v>
      </c>
      <c r="C33" s="97" t="s">
        <v>73</v>
      </c>
      <c r="D33" s="104" t="str">
        <f t="shared" ca="1" si="6"/>
        <v>Shock D3He-p yield</v>
      </c>
      <c r="E33" s="104" t="str">
        <f t="shared" ca="1" si="1"/>
        <v>Proton yield (escaping implosion)</v>
      </c>
      <c r="F33" s="108" t="s">
        <v>23</v>
      </c>
      <c r="G33" s="104" t="str">
        <f t="shared" ca="1" si="7"/>
        <v/>
      </c>
      <c r="H33" s="104" t="str">
        <f t="shared" ca="1" si="8"/>
        <v/>
      </c>
      <c r="I33" s="104" t="str">
        <f t="shared" ca="1" si="9"/>
        <v/>
      </c>
      <c r="J33" s="104" t="str">
        <f t="shared" ca="1" si="10"/>
        <v/>
      </c>
      <c r="K33" s="81" t="str">
        <f ca="1">IF(OR(F33="integer", F33="double"), IF(ISBLANK(OFFSET(INDIRECT(R33), 0, 2, 1, 1)), "", OFFSET(INDIRECT(R33), 0, 2, 1, 1) * H33), "")</f>
        <v/>
      </c>
      <c r="L33" s="81" t="str">
        <f t="shared" ca="1" si="2"/>
        <v/>
      </c>
      <c r="M33" s="81" t="str">
        <f ca="1">IF(OR(F33="integer", F33="double"), IF(ISBLANK(OFFSET(INDIRECT(R33), 0, 3, 1, 1)), "", OFFSET(INDIRECT(R33), 0, 3, 1, 1) * H33), "")</f>
        <v/>
      </c>
      <c r="N33" s="81" t="str">
        <f t="shared" ca="1" si="3"/>
        <v/>
      </c>
      <c r="O33" s="81" t="str">
        <f ca="1">IF(OR(F33="integer", F33="double"), IF(ISBLANK(OFFSET(INDIRECT(R33), 0, 4, 1, 1)), "", OFFSET(INDIRECT(R33), 0, 4, 1, 1) * H33), "")</f>
        <v/>
      </c>
      <c r="P33" s="81" t="str">
        <f t="shared" ca="1" si="4"/>
        <v/>
      </c>
      <c r="Q33" s="81" t="str">
        <f t="shared" ca="1" si="11"/>
        <v>protons</v>
      </c>
      <c r="R33" s="109" t="s">
        <v>131</v>
      </c>
      <c r="S33" s="59" t="s">
        <v>125</v>
      </c>
      <c r="T33" s="111">
        <f t="shared" ca="1" si="12"/>
        <v>41</v>
      </c>
      <c r="U33" s="110" t="s">
        <v>11</v>
      </c>
      <c r="V33" s="111">
        <f t="shared" ca="1" si="18"/>
        <v>2</v>
      </c>
      <c r="W33" s="112" t="str">
        <f t="shared" ca="1" si="13"/>
        <v>Summary!$B$41</v>
      </c>
      <c r="X33" s="111" t="b">
        <f t="shared" ca="1" si="14"/>
        <v>1</v>
      </c>
      <c r="Y33" s="114"/>
      <c r="AA33" s="81"/>
    </row>
    <row r="34" spans="1:27" x14ac:dyDescent="0.35">
      <c r="A34" s="2" t="b">
        <f t="shared" ca="1" si="5"/>
        <v>0</v>
      </c>
      <c r="B34" s="97" t="str">
        <f t="shared" ca="1" si="21"/>
        <v>DESK-TD|TC|WRF|ANALYSIS|LOWER_RIGHT|COMPRESSION_D3HEP_YIELD</v>
      </c>
      <c r="C34" s="97" t="s">
        <v>173</v>
      </c>
      <c r="D34" s="104" t="str">
        <f t="shared" ca="1" si="6"/>
        <v>Compr D3He-p yield</v>
      </c>
      <c r="E34" s="104" t="str">
        <f t="shared" ca="1" si="1"/>
        <v>Proton yield (escaping implosion)</v>
      </c>
      <c r="F34" s="108" t="s">
        <v>23</v>
      </c>
      <c r="G34" s="104" t="str">
        <f t="shared" ca="1" si="7"/>
        <v/>
      </c>
      <c r="H34" s="104" t="str">
        <f t="shared" ca="1" si="8"/>
        <v/>
      </c>
      <c r="I34" s="104" t="str">
        <f t="shared" ca="1" si="9"/>
        <v/>
      </c>
      <c r="J34" s="104" t="str">
        <f t="shared" ca="1" si="10"/>
        <v/>
      </c>
      <c r="K34" s="81" t="str">
        <f ca="1">IF(OR(F34="integer", F34="double"), IF(ISBLANK(OFFSET(INDIRECT(R34), 0, 2, 1, 1)), "", OFFSET(INDIRECT(R34), 0, 2, 1, 1) * H34), "")</f>
        <v/>
      </c>
      <c r="L34" s="81" t="str">
        <f ca="1">K34</f>
        <v/>
      </c>
      <c r="M34" s="81" t="str">
        <f ca="1">IF(OR(F34="integer", F34="double"), IF(ISBLANK(OFFSET(INDIRECT(R34), 0, 3, 1, 1)), "", OFFSET(INDIRECT(R34), 0, 3, 1, 1) * H34), "")</f>
        <v/>
      </c>
      <c r="N34" s="81" t="str">
        <f ca="1">M34</f>
        <v/>
      </c>
      <c r="O34" s="81" t="str">
        <f ca="1">IF(OR(F34="integer", F34="double"), IF(ISBLANK(OFFSET(INDIRECT(R34), 0, 4, 1, 1)), "", OFFSET(INDIRECT(R34), 0, 4, 1, 1) * H34), "")</f>
        <v/>
      </c>
      <c r="P34" s="81" t="str">
        <f ca="1">O34</f>
        <v/>
      </c>
      <c r="Q34" s="81" t="str">
        <f t="shared" ca="1" si="11"/>
        <v>protons</v>
      </c>
      <c r="R34" s="109" t="s">
        <v>132</v>
      </c>
      <c r="S34" s="59" t="s">
        <v>124</v>
      </c>
      <c r="T34" s="111">
        <f t="shared" ca="1" si="12"/>
        <v>42</v>
      </c>
      <c r="U34" s="110" t="s">
        <v>11</v>
      </c>
      <c r="V34" s="111">
        <f t="shared" ca="1" si="18"/>
        <v>2</v>
      </c>
      <c r="W34" s="112" t="str">
        <f t="shared" ca="1" si="13"/>
        <v>Summary!$B$42</v>
      </c>
      <c r="X34" s="111" t="b">
        <f t="shared" ca="1" si="14"/>
        <v>1</v>
      </c>
      <c r="Y34" s="114"/>
      <c r="AA34" s="81"/>
    </row>
    <row r="35" spans="1:27" x14ac:dyDescent="0.35">
      <c r="A35" s="2" t="b">
        <f t="shared" ca="1" si="5"/>
        <v>0</v>
      </c>
      <c r="B35" s="97" t="str">
        <f t="shared" ca="1" si="21"/>
        <v>DESK-TD|TC|WRF|ANALYSIS|LOWER_RIGHT|RHOR_AT_SHOCK</v>
      </c>
      <c r="C35" s="97" t="s">
        <v>171</v>
      </c>
      <c r="D35" s="104" t="str">
        <f t="shared" ca="1" si="6"/>
        <v>&lt;ρR&gt; at shock</v>
      </c>
      <c r="E35" s="104" t="str">
        <f t="shared" ca="1" si="1"/>
        <v>Shock-burn averaged total areal density</v>
      </c>
      <c r="F35" s="108" t="s">
        <v>23</v>
      </c>
      <c r="G35" s="104" t="str">
        <f t="shared" ca="1" si="7"/>
        <v/>
      </c>
      <c r="H35" s="104" t="str">
        <f t="shared" ca="1" si="8"/>
        <v/>
      </c>
      <c r="I35" s="104" t="str">
        <f t="shared" ca="1" si="9"/>
        <v/>
      </c>
      <c r="J35" s="104" t="str">
        <f t="shared" ca="1" si="10"/>
        <v/>
      </c>
      <c r="K35" s="81" t="str">
        <f t="shared" ca="1" si="15"/>
        <v/>
      </c>
      <c r="L35" s="81" t="str">
        <f t="shared" ca="1" si="2"/>
        <v/>
      </c>
      <c r="M35" s="81" t="str">
        <f t="shared" ca="1" si="16"/>
        <v/>
      </c>
      <c r="N35" s="81" t="str">
        <f t="shared" ca="1" si="3"/>
        <v/>
      </c>
      <c r="O35" s="81" t="str">
        <f t="shared" ca="1" si="17"/>
        <v/>
      </c>
      <c r="P35" s="81" t="str">
        <f t="shared" ca="1" si="4"/>
        <v/>
      </c>
      <c r="Q35" s="81" t="str">
        <f t="shared" ca="1" si="11"/>
        <v>mg/cm^2</v>
      </c>
      <c r="R35" s="109" t="s">
        <v>133</v>
      </c>
      <c r="S35" s="69" t="s">
        <v>126</v>
      </c>
      <c r="T35" s="111">
        <f t="shared" ca="1" si="12"/>
        <v>43</v>
      </c>
      <c r="U35" s="110" t="s">
        <v>11</v>
      </c>
      <c r="V35" s="111">
        <f t="shared" ca="1" si="18"/>
        <v>2</v>
      </c>
      <c r="W35" s="112" t="str">
        <f t="shared" ca="1" si="13"/>
        <v>Summary!$B$43</v>
      </c>
      <c r="X35" s="111" t="b">
        <f t="shared" ca="1" si="14"/>
        <v>1</v>
      </c>
      <c r="Y35" s="93"/>
      <c r="AA35" s="81"/>
    </row>
    <row r="36" spans="1:27" x14ac:dyDescent="0.35">
      <c r="A36" s="2" t="b">
        <f t="shared" ca="1" si="5"/>
        <v>0</v>
      </c>
      <c r="B36" s="97" t="str">
        <f t="shared" ca="1" si="21"/>
        <v>DESK-TD|TC|WRF|ANALYSIS|LOWER_RIGHT|RHOR_AT_COMPRESSION</v>
      </c>
      <c r="C36" s="97" t="s">
        <v>172</v>
      </c>
      <c r="D36" s="104" t="str">
        <f t="shared" ca="1" si="6"/>
        <v>&lt;ρR&gt; at compression</v>
      </c>
      <c r="E36" s="104" t="str">
        <f t="shared" ca="1" si="1"/>
        <v>Compression-burn averaged total areal density</v>
      </c>
      <c r="F36" s="108" t="s">
        <v>23</v>
      </c>
      <c r="G36" s="104" t="str">
        <f t="shared" ca="1" si="7"/>
        <v/>
      </c>
      <c r="H36" s="104" t="str">
        <f t="shared" ca="1" si="8"/>
        <v/>
      </c>
      <c r="I36" s="104" t="str">
        <f t="shared" ca="1" si="9"/>
        <v/>
      </c>
      <c r="J36" s="104" t="str">
        <f t="shared" ca="1" si="10"/>
        <v/>
      </c>
      <c r="K36" s="81" t="str">
        <f t="shared" ca="1" si="15"/>
        <v/>
      </c>
      <c r="L36" s="81" t="str">
        <f t="shared" ca="1" si="2"/>
        <v/>
      </c>
      <c r="M36" s="81" t="str">
        <f t="shared" ca="1" si="16"/>
        <v/>
      </c>
      <c r="N36" s="81" t="str">
        <f t="shared" ca="1" si="3"/>
        <v/>
      </c>
      <c r="O36" s="81" t="str">
        <f t="shared" ca="1" si="17"/>
        <v/>
      </c>
      <c r="P36" s="81" t="str">
        <f t="shared" ca="1" si="4"/>
        <v/>
      </c>
      <c r="Q36" s="81" t="str">
        <f t="shared" ca="1" si="11"/>
        <v>mg/cm^2</v>
      </c>
      <c r="R36" s="109" t="s">
        <v>134</v>
      </c>
      <c r="S36" s="69" t="s">
        <v>127</v>
      </c>
      <c r="T36" s="111">
        <f t="shared" ca="1" si="12"/>
        <v>44</v>
      </c>
      <c r="U36" s="110" t="s">
        <v>11</v>
      </c>
      <c r="V36" s="111">
        <f t="shared" ca="1" si="18"/>
        <v>2</v>
      </c>
      <c r="W36" s="112" t="str">
        <f t="shared" ca="1" si="13"/>
        <v>Summary!$B$44</v>
      </c>
      <c r="X36" s="111" t="b">
        <f t="shared" ca="1" si="14"/>
        <v>1</v>
      </c>
      <c r="Y36" s="93"/>
      <c r="AA36" s="81"/>
    </row>
    <row r="37" spans="1:27" x14ac:dyDescent="0.35">
      <c r="A37" s="2" t="b">
        <f t="shared" ca="1" si="5"/>
        <v>0</v>
      </c>
      <c r="B37" s="97" t="str">
        <f t="shared" ca="1" si="21"/>
        <v>DESK-TD|TC|WRF|ANALYSIS|LOWER_RIGHT|KO_P_TO_NEUTRON_RATIO</v>
      </c>
      <c r="C37" s="97" t="s">
        <v>174</v>
      </c>
      <c r="D37" s="104" t="str">
        <f t="shared" ca="1" si="6"/>
        <v>Y_KO-P / Y_n ratio</v>
      </c>
      <c r="E37" s="104" t="str">
        <f t="shared" ca="1" si="1"/>
        <v>Ratio between KO-P yield and neutron yield</v>
      </c>
      <c r="F37" s="108" t="s">
        <v>23</v>
      </c>
      <c r="G37" s="104" t="str">
        <f t="shared" ca="1" si="7"/>
        <v/>
      </c>
      <c r="H37" s="104" t="str">
        <f t="shared" ca="1" si="8"/>
        <v/>
      </c>
      <c r="I37" s="104" t="str">
        <f t="shared" ca="1" si="9"/>
        <v/>
      </c>
      <c r="J37" s="104" t="str">
        <f t="shared" ca="1" si="10"/>
        <v/>
      </c>
      <c r="K37" s="81" t="str">
        <f t="shared" ca="1" si="15"/>
        <v/>
      </c>
      <c r="L37" s="81" t="str">
        <f t="shared" ca="1" si="2"/>
        <v/>
      </c>
      <c r="M37" s="81" t="str">
        <f t="shared" ca="1" si="16"/>
        <v/>
      </c>
      <c r="N37" s="81" t="str">
        <f t="shared" ca="1" si="3"/>
        <v/>
      </c>
      <c r="O37" s="81" t="str">
        <f t="shared" ca="1" si="17"/>
        <v/>
      </c>
      <c r="P37" s="81" t="str">
        <f t="shared" ca="1" si="4"/>
        <v/>
      </c>
      <c r="Q37" s="81" t="str">
        <f t="shared" ca="1" si="11"/>
        <v/>
      </c>
      <c r="R37" s="109" t="s">
        <v>135</v>
      </c>
      <c r="S37" s="69" t="s">
        <v>128</v>
      </c>
      <c r="T37" s="111">
        <f t="shared" ca="1" si="12"/>
        <v>45</v>
      </c>
      <c r="U37" s="110" t="s">
        <v>11</v>
      </c>
      <c r="V37" s="111">
        <f t="shared" ca="1" si="18"/>
        <v>2</v>
      </c>
      <c r="W37" s="112" t="str">
        <f t="shared" ca="1" si="13"/>
        <v>Summary!$B$45</v>
      </c>
      <c r="X37" s="111" t="b">
        <f t="shared" ca="1" si="14"/>
        <v>1</v>
      </c>
      <c r="Y37" s="93"/>
      <c r="AA37" s="81"/>
    </row>
    <row r="38" spans="1:27" x14ac:dyDescent="0.35">
      <c r="A38" s="2" t="b">
        <f t="shared" ca="1" si="5"/>
        <v>0</v>
      </c>
      <c r="B38" s="97" t="str">
        <f t="shared" ca="1" si="21"/>
        <v>DESK-TD|TC|WRF|ANALYSIS|LOWER_RIGHT|COMPRESSION_ABLATOR_RHOR_FROM_RATIO</v>
      </c>
      <c r="C38" s="97" t="s">
        <v>175</v>
      </c>
      <c r="D38" s="104" t="str">
        <f t="shared" ca="1" si="6"/>
        <v>Compr ablator &lt;ρR&gt; from ratio</v>
      </c>
      <c r="E38" s="104" t="str">
        <f t="shared" ca="1" si="1"/>
        <v>Compression-burn averaged ablator areal density</v>
      </c>
      <c r="F38" s="108" t="s">
        <v>23</v>
      </c>
      <c r="G38" s="104" t="str">
        <f t="shared" ca="1" si="7"/>
        <v/>
      </c>
      <c r="H38" s="104" t="str">
        <f t="shared" ca="1" si="8"/>
        <v/>
      </c>
      <c r="I38" s="104" t="str">
        <f t="shared" ca="1" si="9"/>
        <v/>
      </c>
      <c r="J38" s="104" t="str">
        <f t="shared" ca="1" si="10"/>
        <v/>
      </c>
      <c r="K38" s="81" t="str">
        <f t="shared" ca="1" si="15"/>
        <v/>
      </c>
      <c r="L38" s="81" t="str">
        <f t="shared" ca="1" si="2"/>
        <v/>
      </c>
      <c r="M38" s="81" t="str">
        <f t="shared" ca="1" si="16"/>
        <v/>
      </c>
      <c r="N38" s="81" t="str">
        <f t="shared" ca="1" si="3"/>
        <v/>
      </c>
      <c r="O38" s="81" t="str">
        <f t="shared" ca="1" si="17"/>
        <v/>
      </c>
      <c r="P38" s="81" t="str">
        <f t="shared" ca="1" si="4"/>
        <v/>
      </c>
      <c r="Q38" s="81" t="str">
        <f t="shared" ca="1" si="11"/>
        <v>mg/cm^2</v>
      </c>
      <c r="R38" s="109" t="s">
        <v>136</v>
      </c>
      <c r="S38" s="69" t="s">
        <v>129</v>
      </c>
      <c r="T38" s="111">
        <f t="shared" ca="1" si="12"/>
        <v>46</v>
      </c>
      <c r="U38" s="110" t="s">
        <v>11</v>
      </c>
      <c r="V38" s="111">
        <f t="shared" ca="1" si="18"/>
        <v>2</v>
      </c>
      <c r="W38" s="112" t="str">
        <f t="shared" ca="1" si="13"/>
        <v>Summary!$B$46</v>
      </c>
      <c r="X38" s="111" t="b">
        <f t="shared" ca="1" si="14"/>
        <v>1</v>
      </c>
      <c r="Y38" s="93"/>
      <c r="AA38" s="81"/>
    </row>
    <row r="39" spans="1:27" x14ac:dyDescent="0.35">
      <c r="A39" s="2" t="b">
        <f t="shared" ca="1" si="5"/>
        <v>0</v>
      </c>
      <c r="B39" s="97" t="str">
        <f t="shared" ca="1" si="21"/>
        <v>DESK-TD|TC|WRF|ANALYSIS|LOWER_RIGHT|COMPRESSION_ABLATOR_RHOR_FROM_KO_P_SPEC</v>
      </c>
      <c r="C39" s="97" t="s">
        <v>176</v>
      </c>
      <c r="D39" s="104" t="str">
        <f t="shared" ca="1" si="6"/>
        <v>Compr ablator &lt;ρR&gt; from KO-P spec</v>
      </c>
      <c r="E39" s="104" t="str">
        <f t="shared" ca="1" si="1"/>
        <v>Compression-burn averaged ablator areal density</v>
      </c>
      <c r="F39" s="108" t="s">
        <v>23</v>
      </c>
      <c r="G39" s="104" t="str">
        <f t="shared" ca="1" si="7"/>
        <v/>
      </c>
      <c r="H39" s="104" t="str">
        <f t="shared" ca="1" si="8"/>
        <v/>
      </c>
      <c r="I39" s="104" t="str">
        <f t="shared" ca="1" si="9"/>
        <v/>
      </c>
      <c r="J39" s="104" t="str">
        <f t="shared" ca="1" si="10"/>
        <v/>
      </c>
      <c r="K39" s="81" t="str">
        <f t="shared" ca="1" si="15"/>
        <v/>
      </c>
      <c r="L39" s="81" t="str">
        <f t="shared" ca="1" si="2"/>
        <v/>
      </c>
      <c r="M39" s="81" t="str">
        <f t="shared" ca="1" si="16"/>
        <v/>
      </c>
      <c r="N39" s="81" t="str">
        <f t="shared" ca="1" si="3"/>
        <v/>
      </c>
      <c r="O39" s="81" t="str">
        <f t="shared" ca="1" si="17"/>
        <v/>
      </c>
      <c r="P39" s="81" t="str">
        <f t="shared" ca="1" si="4"/>
        <v/>
      </c>
      <c r="Q39" s="81" t="str">
        <f t="shared" ca="1" si="11"/>
        <v>mg/cm^2</v>
      </c>
      <c r="R39" s="109" t="s">
        <v>137</v>
      </c>
      <c r="S39" s="69" t="s">
        <v>130</v>
      </c>
      <c r="T39" s="111">
        <f t="shared" ca="1" si="12"/>
        <v>47</v>
      </c>
      <c r="U39" s="110" t="s">
        <v>11</v>
      </c>
      <c r="V39" s="111">
        <f t="shared" ca="1" si="18"/>
        <v>2</v>
      </c>
      <c r="W39" s="112" t="str">
        <f t="shared" ca="1" si="13"/>
        <v>Summary!$B$47</v>
      </c>
      <c r="X39" s="111" t="b">
        <f t="shared" ca="1" si="14"/>
        <v>1</v>
      </c>
      <c r="Y39" s="117"/>
      <c r="AA39" s="81"/>
    </row>
    <row r="40" spans="1:27" x14ac:dyDescent="0.35">
      <c r="A40" s="2" t="b">
        <f t="shared" ca="1" si="5"/>
        <v>0</v>
      </c>
      <c r="B40" s="97" t="str">
        <f t="shared" ref="B40:B46" ca="1" si="22">CONCATENATE(SUBSYSTEM_KEY,"|TC",INDIRECT("Port"),"|",INDIRECT("Instrument"),"|ANALYSIS|CENTER|", C40)</f>
        <v>DESK-TD|TC|WRF|ANALYSIS|CENTER|SHOCK_D3HE_P_YIELD</v>
      </c>
      <c r="C40" s="97" t="s">
        <v>73</v>
      </c>
      <c r="D40" s="104" t="str">
        <f t="shared" ca="1" si="6"/>
        <v>Shock D3He-p yield</v>
      </c>
      <c r="E40" s="104" t="str">
        <f t="shared" ca="1" si="1"/>
        <v>Proton yield (escaping implosion)</v>
      </c>
      <c r="F40" s="108" t="s">
        <v>23</v>
      </c>
      <c r="G40" s="104" t="str">
        <f t="shared" ca="1" si="7"/>
        <v/>
      </c>
      <c r="H40" s="104" t="str">
        <f t="shared" ca="1" si="8"/>
        <v/>
      </c>
      <c r="I40" s="104" t="str">
        <f t="shared" ca="1" si="9"/>
        <v/>
      </c>
      <c r="J40" s="104" t="str">
        <f t="shared" ca="1" si="10"/>
        <v/>
      </c>
      <c r="K40" s="81" t="str">
        <f ca="1">IF(OR(F40="integer", F40="double"), IF(ISBLANK(OFFSET(INDIRECT(R40), 0, 2, 1, 1)), "", OFFSET(INDIRECT(R40), 0, 2, 1, 1) * H40), "")</f>
        <v/>
      </c>
      <c r="L40" s="81" t="str">
        <f t="shared" ca="1" si="2"/>
        <v/>
      </c>
      <c r="M40" s="81" t="str">
        <f ca="1">IF(OR(F40="integer", F40="double"), IF(ISBLANK(OFFSET(INDIRECT(R40), 0, 3, 1, 1)), "", OFFSET(INDIRECT(R40), 0, 3, 1, 1) * H40), "")</f>
        <v/>
      </c>
      <c r="N40" s="81" t="str">
        <f t="shared" ca="1" si="3"/>
        <v/>
      </c>
      <c r="O40" s="81" t="str">
        <f ca="1">IF(OR(F40="integer", F40="double"), IF(ISBLANK(OFFSET(INDIRECT(R40), 0, 4, 1, 1)), "", OFFSET(INDIRECT(R40), 0, 4, 1, 1) * H40), "")</f>
        <v/>
      </c>
      <c r="P40" s="81" t="str">
        <f t="shared" ca="1" si="4"/>
        <v/>
      </c>
      <c r="Q40" s="81" t="str">
        <f t="shared" ca="1" si="11"/>
        <v>protons</v>
      </c>
      <c r="R40" s="109" t="s">
        <v>138</v>
      </c>
      <c r="S40" s="59" t="s">
        <v>118</v>
      </c>
      <c r="T40" s="111">
        <f t="shared" ca="1" si="12"/>
        <v>52</v>
      </c>
      <c r="U40" s="110" t="s">
        <v>11</v>
      </c>
      <c r="V40" s="111">
        <f t="shared" ca="1" si="18"/>
        <v>2</v>
      </c>
      <c r="W40" s="112" t="str">
        <f t="shared" ca="1" si="13"/>
        <v>Summary!$B$52</v>
      </c>
      <c r="X40" s="111" t="b">
        <f t="shared" ca="1" si="14"/>
        <v>1</v>
      </c>
      <c r="AA40" s="81"/>
    </row>
    <row r="41" spans="1:27" x14ac:dyDescent="0.35">
      <c r="A41" s="2" t="b">
        <f t="shared" ca="1" si="5"/>
        <v>0</v>
      </c>
      <c r="B41" s="97" t="str">
        <f t="shared" ca="1" si="22"/>
        <v>DESK-TD|TC|WRF|ANALYSIS|CENTER|COMPRESSION_D3HEP_YIELD</v>
      </c>
      <c r="C41" s="97" t="s">
        <v>173</v>
      </c>
      <c r="D41" s="104" t="str">
        <f t="shared" ca="1" si="6"/>
        <v>Compr D3He-p yield</v>
      </c>
      <c r="E41" s="104" t="str">
        <f t="shared" ca="1" si="1"/>
        <v>Proton yield (escaping implosion)</v>
      </c>
      <c r="F41" s="108" t="s">
        <v>23</v>
      </c>
      <c r="G41" s="104" t="str">
        <f t="shared" ca="1" si="7"/>
        <v/>
      </c>
      <c r="H41" s="104" t="str">
        <f t="shared" ca="1" si="8"/>
        <v/>
      </c>
      <c r="I41" s="104" t="str">
        <f t="shared" ca="1" si="9"/>
        <v/>
      </c>
      <c r="J41" s="104" t="str">
        <f t="shared" ca="1" si="10"/>
        <v/>
      </c>
      <c r="K41" s="81" t="str">
        <f ca="1">IF(OR(F41="integer", F41="double"), IF(ISBLANK(OFFSET(INDIRECT(R41), 0, 2, 1, 1)), "", OFFSET(INDIRECT(R41), 0, 2, 1, 1) * H41), "")</f>
        <v/>
      </c>
      <c r="L41" s="81" t="str">
        <f ca="1">K41</f>
        <v/>
      </c>
      <c r="M41" s="81" t="str">
        <f ca="1">IF(OR(F41="integer", F41="double"), IF(ISBLANK(OFFSET(INDIRECT(R41), 0, 3, 1, 1)), "", OFFSET(INDIRECT(R41), 0, 3, 1, 1) * H41), "")</f>
        <v/>
      </c>
      <c r="N41" s="81" t="str">
        <f ca="1">M41</f>
        <v/>
      </c>
      <c r="O41" s="81" t="str">
        <f ca="1">IF(OR(F41="integer", F41="double"), IF(ISBLANK(OFFSET(INDIRECT(R41), 0, 4, 1, 1)), "", OFFSET(INDIRECT(R41), 0, 4, 1, 1) * H41), "")</f>
        <v/>
      </c>
      <c r="P41" s="81" t="str">
        <f ca="1">O41</f>
        <v/>
      </c>
      <c r="Q41" s="81" t="str">
        <f t="shared" ca="1" si="11"/>
        <v>protons</v>
      </c>
      <c r="R41" s="109" t="s">
        <v>139</v>
      </c>
      <c r="S41" s="59" t="s">
        <v>117</v>
      </c>
      <c r="T41" s="111">
        <f t="shared" ca="1" si="12"/>
        <v>53</v>
      </c>
      <c r="U41" s="110" t="s">
        <v>11</v>
      </c>
      <c r="V41" s="111">
        <f t="shared" ca="1" si="18"/>
        <v>2</v>
      </c>
      <c r="W41" s="112" t="str">
        <f t="shared" ca="1" si="13"/>
        <v>Summary!$B$53</v>
      </c>
      <c r="X41" s="111" t="b">
        <f t="shared" ca="1" si="14"/>
        <v>1</v>
      </c>
      <c r="AA41" s="81"/>
    </row>
    <row r="42" spans="1:27" x14ac:dyDescent="0.35">
      <c r="A42" s="2" t="b">
        <f t="shared" ca="1" si="5"/>
        <v>0</v>
      </c>
      <c r="B42" s="97" t="str">
        <f t="shared" ca="1" si="22"/>
        <v>DESK-TD|TC|WRF|ANALYSIS|CENTER|RHOR_AT_SHOCK</v>
      </c>
      <c r="C42" s="97" t="s">
        <v>171</v>
      </c>
      <c r="D42" s="104" t="str">
        <f t="shared" ca="1" si="6"/>
        <v>&lt;ρR&gt; at shock</v>
      </c>
      <c r="E42" s="104" t="str">
        <f t="shared" ca="1" si="1"/>
        <v>Shock-burn averaged total areal density</v>
      </c>
      <c r="F42" s="108" t="s">
        <v>23</v>
      </c>
      <c r="G42" s="104" t="str">
        <f t="shared" ca="1" si="7"/>
        <v/>
      </c>
      <c r="H42" s="104" t="str">
        <f t="shared" ca="1" si="8"/>
        <v/>
      </c>
      <c r="I42" s="104" t="str">
        <f t="shared" ca="1" si="9"/>
        <v/>
      </c>
      <c r="J42" s="104" t="str">
        <f t="shared" ca="1" si="10"/>
        <v/>
      </c>
      <c r="K42" s="81" t="str">
        <f t="shared" ca="1" si="15"/>
        <v/>
      </c>
      <c r="L42" s="81" t="str">
        <f t="shared" ca="1" si="2"/>
        <v/>
      </c>
      <c r="M42" s="81" t="str">
        <f t="shared" ca="1" si="16"/>
        <v/>
      </c>
      <c r="N42" s="81" t="str">
        <f t="shared" ca="1" si="3"/>
        <v/>
      </c>
      <c r="O42" s="81" t="str">
        <f t="shared" ca="1" si="17"/>
        <v/>
      </c>
      <c r="P42" s="81" t="str">
        <f t="shared" ca="1" si="4"/>
        <v/>
      </c>
      <c r="Q42" s="81" t="str">
        <f t="shared" ca="1" si="11"/>
        <v>mg/cm^2</v>
      </c>
      <c r="R42" s="109" t="s">
        <v>140</v>
      </c>
      <c r="S42" s="69" t="s">
        <v>119</v>
      </c>
      <c r="T42" s="111">
        <f t="shared" ca="1" si="12"/>
        <v>54</v>
      </c>
      <c r="U42" s="110" t="s">
        <v>11</v>
      </c>
      <c r="V42" s="111">
        <f ca="1">COLUMN(INDIRECT(U42))</f>
        <v>2</v>
      </c>
      <c r="W42" s="112" t="str">
        <f ca="1">ADDRESS(T42,V42,1,1,"Summary")</f>
        <v>Summary!$B$54</v>
      </c>
      <c r="X42" s="111" t="b">
        <f ca="1">IF(W42=R42,TRUE,FALSE)</f>
        <v>1</v>
      </c>
      <c r="AA42" s="81"/>
    </row>
    <row r="43" spans="1:27" x14ac:dyDescent="0.35">
      <c r="A43" s="2" t="b">
        <f t="shared" ca="1" si="5"/>
        <v>0</v>
      </c>
      <c r="B43" s="97" t="str">
        <f t="shared" ca="1" si="22"/>
        <v>DESK-TD|TC|WRF|ANALYSIS|CENTER|RHOR_AT_COMPRESSION</v>
      </c>
      <c r="C43" s="97" t="s">
        <v>172</v>
      </c>
      <c r="D43" s="104" t="str">
        <f t="shared" ca="1" si="6"/>
        <v>&lt;ρR&gt; at compression</v>
      </c>
      <c r="E43" s="104" t="str">
        <f t="shared" ca="1" si="1"/>
        <v>Compression-burn averaged total areal density</v>
      </c>
      <c r="F43" s="108" t="s">
        <v>23</v>
      </c>
      <c r="G43" s="104" t="str">
        <f t="shared" ca="1" si="7"/>
        <v/>
      </c>
      <c r="H43" s="104" t="str">
        <f t="shared" ca="1" si="8"/>
        <v/>
      </c>
      <c r="I43" s="104" t="str">
        <f t="shared" ca="1" si="9"/>
        <v/>
      </c>
      <c r="J43" s="104" t="str">
        <f t="shared" ca="1" si="10"/>
        <v/>
      </c>
      <c r="K43" s="81" t="str">
        <f t="shared" ca="1" si="15"/>
        <v/>
      </c>
      <c r="L43" s="81" t="str">
        <f t="shared" ca="1" si="2"/>
        <v/>
      </c>
      <c r="M43" s="81" t="str">
        <f t="shared" ca="1" si="16"/>
        <v/>
      </c>
      <c r="N43" s="81" t="str">
        <f t="shared" ca="1" si="3"/>
        <v/>
      </c>
      <c r="O43" s="81" t="str">
        <f t="shared" ca="1" si="17"/>
        <v/>
      </c>
      <c r="P43" s="81" t="str">
        <f t="shared" ca="1" si="4"/>
        <v/>
      </c>
      <c r="Q43" s="81" t="str">
        <f t="shared" ca="1" si="11"/>
        <v>mg/cm^2</v>
      </c>
      <c r="R43" s="109" t="s">
        <v>141</v>
      </c>
      <c r="S43" s="69" t="s">
        <v>120</v>
      </c>
      <c r="T43" s="111">
        <f t="shared" ca="1" si="12"/>
        <v>55</v>
      </c>
      <c r="U43" s="110" t="s">
        <v>11</v>
      </c>
      <c r="V43" s="111">
        <f ca="1">COLUMN(INDIRECT(U43))</f>
        <v>2</v>
      </c>
      <c r="W43" s="112" t="str">
        <f ca="1">ADDRESS(T43,V43,1,1,"Summary")</f>
        <v>Summary!$B$55</v>
      </c>
      <c r="X43" s="111" t="b">
        <f ca="1">IF(W43=R43,TRUE,FALSE)</f>
        <v>1</v>
      </c>
      <c r="AA43" s="81"/>
    </row>
    <row r="44" spans="1:27" x14ac:dyDescent="0.35">
      <c r="A44" s="2" t="b">
        <f t="shared" ca="1" si="5"/>
        <v>0</v>
      </c>
      <c r="B44" s="97" t="str">
        <f t="shared" ca="1" si="22"/>
        <v>DESK-TD|TC|WRF|ANALYSIS|CENTER|KO_P_TO_NEUTRON_RATIO</v>
      </c>
      <c r="C44" s="97" t="s">
        <v>174</v>
      </c>
      <c r="D44" s="104" t="str">
        <f t="shared" ca="1" si="6"/>
        <v>Y_KO-P / Y_n ratio</v>
      </c>
      <c r="E44" s="104" t="str">
        <f t="shared" ca="1" si="1"/>
        <v>Ratio between KO-P yield and neutron yield</v>
      </c>
      <c r="F44" s="108" t="s">
        <v>23</v>
      </c>
      <c r="G44" s="104" t="str">
        <f t="shared" ca="1" si="7"/>
        <v/>
      </c>
      <c r="H44" s="104" t="str">
        <f t="shared" ca="1" si="8"/>
        <v/>
      </c>
      <c r="I44" s="104" t="str">
        <f t="shared" ca="1" si="9"/>
        <v/>
      </c>
      <c r="J44" s="104" t="str">
        <f t="shared" ca="1" si="10"/>
        <v/>
      </c>
      <c r="K44" s="81" t="str">
        <f t="shared" ca="1" si="15"/>
        <v/>
      </c>
      <c r="L44" s="81" t="str">
        <f t="shared" ca="1" si="2"/>
        <v/>
      </c>
      <c r="M44" s="81" t="str">
        <f t="shared" ca="1" si="16"/>
        <v/>
      </c>
      <c r="N44" s="81" t="str">
        <f t="shared" ca="1" si="3"/>
        <v/>
      </c>
      <c r="O44" s="81" t="str">
        <f t="shared" ca="1" si="17"/>
        <v/>
      </c>
      <c r="P44" s="81" t="str">
        <f t="shared" ca="1" si="4"/>
        <v/>
      </c>
      <c r="Q44" s="81" t="str">
        <f t="shared" ca="1" si="11"/>
        <v/>
      </c>
      <c r="R44" s="109" t="s">
        <v>142</v>
      </c>
      <c r="S44" s="69" t="s">
        <v>121</v>
      </c>
      <c r="T44" s="111">
        <f t="shared" ca="1" si="12"/>
        <v>56</v>
      </c>
      <c r="U44" s="110" t="s">
        <v>11</v>
      </c>
      <c r="V44" s="111">
        <f ca="1">COLUMN(INDIRECT(U44))</f>
        <v>2</v>
      </c>
      <c r="W44" s="112" t="str">
        <f ca="1">ADDRESS(T44,V44,1,1,"Summary")</f>
        <v>Summary!$B$56</v>
      </c>
      <c r="X44" s="111" t="b">
        <f ca="1">IF(W44=R44,TRUE,FALSE)</f>
        <v>1</v>
      </c>
      <c r="AA44" s="81"/>
    </row>
    <row r="45" spans="1:27" x14ac:dyDescent="0.35">
      <c r="A45" s="2" t="b">
        <f t="shared" ca="1" si="5"/>
        <v>0</v>
      </c>
      <c r="B45" s="97" t="str">
        <f t="shared" ca="1" si="22"/>
        <v>DESK-TD|TC|WRF|ANALYSIS|CENTER|COMPRESSION_ABLATOR_RHOR_FROM_RATIO</v>
      </c>
      <c r="C45" s="97" t="s">
        <v>175</v>
      </c>
      <c r="D45" s="104" t="str">
        <f t="shared" ca="1" si="6"/>
        <v>Compr ablator &lt;ρR&gt; from ratio</v>
      </c>
      <c r="E45" s="104" t="str">
        <f t="shared" ca="1" si="1"/>
        <v>Compression-burn averaged ablator areal density</v>
      </c>
      <c r="F45" s="108" t="s">
        <v>23</v>
      </c>
      <c r="G45" s="104" t="str">
        <f t="shared" ca="1" si="7"/>
        <v/>
      </c>
      <c r="H45" s="104" t="str">
        <f t="shared" ca="1" si="8"/>
        <v/>
      </c>
      <c r="I45" s="104" t="str">
        <f t="shared" ca="1" si="9"/>
        <v/>
      </c>
      <c r="J45" s="104" t="str">
        <f t="shared" ca="1" si="10"/>
        <v/>
      </c>
      <c r="K45" s="81" t="str">
        <f t="shared" ca="1" si="15"/>
        <v/>
      </c>
      <c r="L45" s="81" t="str">
        <f t="shared" ca="1" si="2"/>
        <v/>
      </c>
      <c r="M45" s="81" t="str">
        <f t="shared" ca="1" si="16"/>
        <v/>
      </c>
      <c r="N45" s="81" t="str">
        <f t="shared" ca="1" si="3"/>
        <v/>
      </c>
      <c r="O45" s="81" t="str">
        <f t="shared" ca="1" si="17"/>
        <v/>
      </c>
      <c r="P45" s="81" t="str">
        <f t="shared" ca="1" si="4"/>
        <v/>
      </c>
      <c r="Q45" s="81" t="str">
        <f t="shared" ca="1" si="11"/>
        <v>mg/cm^2</v>
      </c>
      <c r="R45" s="109" t="s">
        <v>143</v>
      </c>
      <c r="S45" s="69" t="s">
        <v>122</v>
      </c>
      <c r="T45" s="111">
        <f t="shared" ca="1" si="12"/>
        <v>57</v>
      </c>
      <c r="U45" s="110" t="s">
        <v>11</v>
      </c>
      <c r="V45" s="111">
        <f ca="1">COLUMN(INDIRECT(U45))</f>
        <v>2</v>
      </c>
      <c r="W45" s="112" t="str">
        <f ca="1">ADDRESS(T45,V45,1,1,"Summary")</f>
        <v>Summary!$B$57</v>
      </c>
      <c r="X45" s="111" t="b">
        <f ca="1">IF(W45=R45,TRUE,FALSE)</f>
        <v>1</v>
      </c>
      <c r="AA45" s="81"/>
    </row>
    <row r="46" spans="1:27" x14ac:dyDescent="0.35">
      <c r="A46" s="2" t="b">
        <f t="shared" ca="1" si="5"/>
        <v>0</v>
      </c>
      <c r="B46" s="97" t="str">
        <f t="shared" ca="1" si="22"/>
        <v>DESK-TD|TC|WRF|ANALYSIS|CENTER|COMPRESSION_ABLATOR_RHOR_FROM_KO_P_SPEC</v>
      </c>
      <c r="C46" s="97" t="s">
        <v>176</v>
      </c>
      <c r="D46" s="104" t="str">
        <f ca="1">IF(ISBLANK(OFFSET(INDIRECT(R46), 0, -1, 1, 1)), "", OFFSET(INDIRECT(R46), 0, -1, 1, 1))</f>
        <v>Compr ablator &lt;ρR&gt; from KO-P spec</v>
      </c>
      <c r="E46" s="104" t="str">
        <f t="shared" ca="1" si="1"/>
        <v>Compression-burn averaged ablator areal density</v>
      </c>
      <c r="F46" s="108" t="s">
        <v>23</v>
      </c>
      <c r="G46" s="104" t="str">
        <f ca="1">IF(F46 = "string", IF(ISBLANK(OFFSET(INDIRECT(R46), 0, 0, 1, 1)), "", OFFSET(INDIRECT(R46), 0, 0, 1, 1)), "")</f>
        <v/>
      </c>
      <c r="H46" s="104" t="str">
        <f ca="1">IF(F46="double", IF(ISBLANK(OFFSET(INDIRECT(R46), 0, 0, 1, 1)), "", OFFSET(INDIRECT(R46), 0, 0, 1, 1)), "")</f>
        <v/>
      </c>
      <c r="I46" s="104" t="str">
        <f ca="1">IF(F46="boolean", IF(ISBLANK(OFFSET(INDIRECT(R46), 0, 0, 1, 1)), "", OFFSET(INDIRECT(R46), 0, 0, 1, 1)), "")</f>
        <v/>
      </c>
      <c r="J46" s="104" t="str">
        <f ca="1">IF(F46="integer", IF(ISBLANK(OFFSET(INDIRECT(R46), 0, 0, 1, 1)), "", OFFSET(INDIRECT(R46), 0, 0, 1, 1)), "")</f>
        <v/>
      </c>
      <c r="K46" s="81" t="str">
        <f t="shared" ca="1" si="15"/>
        <v/>
      </c>
      <c r="L46" s="81" t="str">
        <f ca="1">K46</f>
        <v/>
      </c>
      <c r="M46" s="81" t="str">
        <f t="shared" ca="1" si="16"/>
        <v/>
      </c>
      <c r="N46" s="81" t="str">
        <f ca="1">M46</f>
        <v/>
      </c>
      <c r="O46" s="81" t="str">
        <f t="shared" ca="1" si="17"/>
        <v/>
      </c>
      <c r="P46" s="81" t="str">
        <f ca="1">O46</f>
        <v/>
      </c>
      <c r="Q46" s="81" t="str">
        <f ca="1">IF(OR(F46="int", F46="double"), IF(ISBLANK(OFFSET(INDIRECT(R46), 0, 1, 1, 1)), "", OFFSET(INDIRECT(R46), 0, 1, 1, 1)), "")</f>
        <v>mg/cm^2</v>
      </c>
      <c r="R46" s="109" t="s">
        <v>144</v>
      </c>
      <c r="S46" s="69" t="s">
        <v>123</v>
      </c>
      <c r="T46" s="111">
        <f t="shared" ca="1" si="12"/>
        <v>58</v>
      </c>
      <c r="U46" s="110" t="s">
        <v>11</v>
      </c>
      <c r="V46" s="111">
        <f ca="1">COLUMN(INDIRECT(U46))</f>
        <v>2</v>
      </c>
      <c r="W46" s="112" t="str">
        <f ca="1">ADDRESS(T46,V46,1,1,"Summary")</f>
        <v>Summary!$B$58</v>
      </c>
      <c r="X46" s="111" t="b">
        <f ca="1">IF(W46=R46,TRUE,FALSE)</f>
        <v>1</v>
      </c>
      <c r="AA46" s="81"/>
    </row>
    <row r="47" spans="1:27" x14ac:dyDescent="0.35">
      <c r="AA47" s="81"/>
    </row>
  </sheetData>
  <sheetCalcPr fullCalcOnLoad="1"/>
  <sheetProtection password="C595" sheet="1" objects="1" scenarios="1"/>
  <conditionalFormatting sqref="X46 X35">
    <cfRule type="cellIs" dxfId="2" priority="3" stopIfTrue="1" operator="equal">
      <formula>FALSE</formula>
    </cfRule>
  </conditionalFormatting>
  <conditionalFormatting sqref="A12:A46 X12:X46">
    <cfRule type="cellIs" dxfId="1" priority="1" stopIfTrue="1" operator="equal">
      <formula>TRUE</formula>
    </cfRule>
    <cfRule type="cellIs" dxfId="0" priority="2" stopIfTrue="1" operator="equal">
      <formula>FALSE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51</vt:i4>
      </vt:variant>
    </vt:vector>
  </HeadingPairs>
  <TitlesOfParts>
    <vt:vector size="55" baseType="lpstr">
      <vt:lpstr>Summary</vt:lpstr>
      <vt:lpstr>Validation</vt:lpstr>
      <vt:lpstr>!DATA1</vt:lpstr>
      <vt:lpstr>!TBL-DATA</vt:lpstr>
      <vt:lpstr>Compr_ablator_ρR_from_KO_P_spec_1</vt:lpstr>
      <vt:lpstr>Compr_ablator_ρR_from_KO_P_spec_2</vt:lpstr>
      <vt:lpstr>Compr_ablator_ρR_from_KO_P_spec_3</vt:lpstr>
      <vt:lpstr>Compr_ablator_ρR_from_KO_P_spec_4</vt:lpstr>
      <vt:lpstr>Compr_ablator_ρR_from_KO_P_spec_5</vt:lpstr>
      <vt:lpstr>Compr_ablator_ρR_from_ratio_1</vt:lpstr>
      <vt:lpstr>Compr_ablator_ρR_from_ratio_2</vt:lpstr>
      <vt:lpstr>Compr_ablator_ρR_from_ratio_3</vt:lpstr>
      <vt:lpstr>Compr_ablator_ρR_from_ratio_4</vt:lpstr>
      <vt:lpstr>Compr_ablator_ρR_from_ratio_5</vt:lpstr>
      <vt:lpstr>Compr_D3He_p_yield_1</vt:lpstr>
      <vt:lpstr>Compr_D3He_p_yield_2</vt:lpstr>
      <vt:lpstr>Compr_D3He_p_yield_3</vt:lpstr>
      <vt:lpstr>Compr_D3He_p_yield_4</vt:lpstr>
      <vt:lpstr>Compr_D3He_p_yield_5</vt:lpstr>
      <vt:lpstr>Instrument</vt:lpstr>
      <vt:lpstr>Metric</vt:lpstr>
      <vt:lpstr>Port</vt:lpstr>
      <vt:lpstr>Ports</vt:lpstr>
      <vt:lpstr>QualityList</vt:lpstr>
      <vt:lpstr>Shock_D3He_p_yield_1</vt:lpstr>
      <vt:lpstr>Shock_D3He_p_yield_2</vt:lpstr>
      <vt:lpstr>Shock_D3He_p_yield_3</vt:lpstr>
      <vt:lpstr>Shock_D3He_p_yield_4</vt:lpstr>
      <vt:lpstr>Shock_D3He_p_yield_5</vt:lpstr>
      <vt:lpstr>SHOT_ID</vt:lpstr>
      <vt:lpstr>Stat_Unc</vt:lpstr>
      <vt:lpstr>SUBSYSTEM_KEY</vt:lpstr>
      <vt:lpstr>Sys_Unc</vt:lpstr>
      <vt:lpstr>Total_Unc</vt:lpstr>
      <vt:lpstr>UOM</vt:lpstr>
      <vt:lpstr>WRF_1_Metric</vt:lpstr>
      <vt:lpstr>WRF_2_Metric</vt:lpstr>
      <vt:lpstr>WRF_3_Metric</vt:lpstr>
      <vt:lpstr>WRF_4_Metric</vt:lpstr>
      <vt:lpstr>WRF_5_Metric</vt:lpstr>
      <vt:lpstr>Y_KO_P_Y_n_ratio_1</vt:lpstr>
      <vt:lpstr>Y_KO_P_Y_n_ratio_2</vt:lpstr>
      <vt:lpstr>Y_KO_P_Y_n_ratio_3</vt:lpstr>
      <vt:lpstr>Y_KO_P_Y_n_ratio_4</vt:lpstr>
      <vt:lpstr>Y_KO_P_Y_n_ratio_5</vt:lpstr>
      <vt:lpstr>ρR_at_compression_1</vt:lpstr>
      <vt:lpstr>ρR_at_compression_2</vt:lpstr>
      <vt:lpstr>ρR_at_compression_3</vt:lpstr>
      <vt:lpstr>ρR_at_compression_4</vt:lpstr>
      <vt:lpstr>ρR_at_compression_5</vt:lpstr>
      <vt:lpstr>ρR_at_shock_1</vt:lpstr>
      <vt:lpstr>ρR_at_shock_2</vt:lpstr>
      <vt:lpstr>ρR_at_shock_3</vt:lpstr>
      <vt:lpstr>ρR_at_shock_4</vt:lpstr>
      <vt:lpstr>ρR_at_shock_5</vt:lpstr>
    </vt:vector>
  </TitlesOfParts>
  <Company>llnl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Kilkenny, Joe</dc:creator>
  <cp:lastModifiedBy>Kunimune, Justin Haruaki [LLNL Collaborator]</cp:lastModifiedBy>
  <cp:lastPrinted>2010-08-10T21:13:01Z</cp:lastPrinted>
  <dcterms:created xsi:type="dcterms:W3CDTF">2010-04-12T03:14:13Z</dcterms:created>
  <dcterms:modified xsi:type="dcterms:W3CDTF">2024-12-05T18:08:26Z</dcterms:modified>
</cp:coreProperties>
</file>